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Entry" sheetId="1" state="visible" r:id="rId1"/>
    <sheet xmlns:r="http://schemas.openxmlformats.org/officeDocument/2006/relationships" name="Driver_Salary" sheetId="2" state="visible" r:id="rId2"/>
    <sheet xmlns:r="http://schemas.openxmlformats.org/officeDocument/2006/relationships" name="Jan" sheetId="3" state="visible" r:id="rId3"/>
    <sheet xmlns:r="http://schemas.openxmlformats.org/officeDocument/2006/relationships" name="Feb" sheetId="4" state="visible" r:id="rId4"/>
    <sheet xmlns:r="http://schemas.openxmlformats.org/officeDocument/2006/relationships" name="Mar" sheetId="5" state="visible" r:id="rId5"/>
    <sheet xmlns:r="http://schemas.openxmlformats.org/officeDocument/2006/relationships" name="Apr" sheetId="6" state="visible" r:id="rId6"/>
    <sheet xmlns:r="http://schemas.openxmlformats.org/officeDocument/2006/relationships" name="May" sheetId="7" state="visible" r:id="rId7"/>
    <sheet xmlns:r="http://schemas.openxmlformats.org/officeDocument/2006/relationships" name="Jun" sheetId="8" state="visible" r:id="rId8"/>
    <sheet xmlns:r="http://schemas.openxmlformats.org/officeDocument/2006/relationships" name="Jul" sheetId="9" state="visible" r:id="rId9"/>
    <sheet xmlns:r="http://schemas.openxmlformats.org/officeDocument/2006/relationships" name="Aug" sheetId="10" state="visible" r:id="rId10"/>
    <sheet xmlns:r="http://schemas.openxmlformats.org/officeDocument/2006/relationships" name="Sep" sheetId="11" state="visible" r:id="rId11"/>
    <sheet xmlns:r="http://schemas.openxmlformats.org/officeDocument/2006/relationships" name="Oct" sheetId="12" state="visible" r:id="rId12"/>
    <sheet xmlns:r="http://schemas.openxmlformats.org/officeDocument/2006/relationships" name="Nov" sheetId="13" state="visible" r:id="rId13"/>
    <sheet xmlns:r="http://schemas.openxmlformats.org/officeDocument/2006/relationships" name="Dec" sheetId="14" state="visible" r:id="rId14"/>
    <sheet xmlns:r="http://schemas.openxmlformats.org/officeDocument/2006/relationships" name="Yearly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 Financial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'Jan'!$A$3:$A$10</f>
            </numRef>
          </cat>
          <val>
            <numRef>
              <f>'Jan'!$B$3:$B$10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Feb Financial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'Feb'!$A$3:$A$10</f>
            </numRef>
          </cat>
          <val>
            <numRef>
              <f>'Feb'!$B$3:$B$10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 Financial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'Mar'!$A$3:$A$10</f>
            </numRef>
          </cat>
          <val>
            <numRef>
              <f>'Mar'!$B$3:$B$10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Apr Financial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'Apr'!$A$3:$A$10</f>
            </numRef>
          </cat>
          <val>
            <numRef>
              <f>'Apr'!$B$3:$B$10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May Financial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'May'!$A$3:$A$10</f>
            </numRef>
          </cat>
          <val>
            <numRef>
              <f>'May'!$B$3:$B$10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Jun Financial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'Jun'!$A$3:$A$10</f>
            </numRef>
          </cat>
          <val>
            <numRef>
              <f>'Jun'!$B$3:$B$10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Jul Financial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'Jul'!$A$3:$A$10</f>
            </numRef>
          </cat>
          <val>
            <numRef>
              <f>'Jul'!$B$3:$B$10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Aug Financial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'Aug'!$A$3:$A$10</f>
            </numRef>
          </cat>
          <val>
            <numRef>
              <f>'Aug'!$B$3:$B$10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Sep Financial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'Sep'!$A$3:$A$10</f>
            </numRef>
          </cat>
          <val>
            <numRef>
              <f>'Sep'!$B$3:$B$10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Oct Financial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'Oct'!$A$3:$A$10</f>
            </numRef>
          </cat>
          <val>
            <numRef>
              <f>'Oct'!$B$3:$B$10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Nov Financial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'Nov'!$A$3:$A$10</f>
            </numRef>
          </cat>
          <val>
            <numRef>
              <f>'Nov'!$B$3:$B$10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Dec Financial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'Dec'!$A$3:$A$10</f>
            </numRef>
          </cat>
          <val>
            <numRef>
              <f>'Dec'!$B$3:$B$10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Yearly Performance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'Yearly_Summary'!B1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'Yearly_Summary'!$A$2:$A$13</f>
            </numRef>
          </cat>
          <val>
            <numRef>
              <f>'Yearly_Summary'!$B$2:$B$13</f>
            </numRef>
          </val>
        </ser>
        <ser>
          <idx val="1"/>
          <order val="1"/>
          <tx>
            <strRef>
              <f>'Yearly_Summary'!C1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'Yearly_Summary'!$A$2:$A$13</f>
            </numRef>
          </cat>
          <val>
            <numRef>
              <f>'Yearly_Summary'!$C$2:$C$13</f>
            </numRef>
          </val>
        </ser>
        <ser>
          <idx val="2"/>
          <order val="2"/>
          <tx>
            <strRef>
              <f>'Yearly_Summary'!D1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'Yearly_Summary'!$A$2:$A$13</f>
            </numRef>
          </cat>
          <val>
            <numRef>
              <f>'Yearly_Summary'!$D$2:$D$13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Loads</t>
        </is>
      </c>
      <c r="C1" t="inlineStr">
        <is>
          <t>Total Income</t>
        </is>
      </c>
      <c r="D1" t="inlineStr">
        <is>
          <t>GPay Amount</t>
        </is>
      </c>
      <c r="E1" t="inlineStr">
        <is>
          <t>Cash Amount</t>
        </is>
      </c>
      <c r="F1" t="inlineStr">
        <is>
          <t>Diesel Cost</t>
        </is>
      </c>
      <c r="G1" t="inlineStr">
        <is>
          <t>Other Expenses</t>
        </is>
      </c>
      <c r="H1" t="inlineStr">
        <is>
          <t>Remarks</t>
        </is>
      </c>
      <c r="I1" t="inlineStr">
        <is>
          <t>Total Expenses</t>
        </is>
      </c>
      <c r="J1" t="inlineStr">
        <is>
          <t>Profit</t>
        </is>
      </c>
    </row>
    <row r="2">
      <c r="I2">
        <f>F2+G2</f>
        <v/>
      </c>
      <c r="J2">
        <f>C2-I2</f>
        <v/>
      </c>
    </row>
    <row r="3">
      <c r="I3">
        <f>F3+G3</f>
        <v/>
      </c>
      <c r="J3">
        <f>C3-I3</f>
        <v/>
      </c>
    </row>
    <row r="4">
      <c r="I4">
        <f>F4+G4</f>
        <v/>
      </c>
      <c r="J4">
        <f>C4-I4</f>
        <v/>
      </c>
    </row>
    <row r="5">
      <c r="I5">
        <f>F5+G5</f>
        <v/>
      </c>
      <c r="J5">
        <f>C5-I5</f>
        <v/>
      </c>
    </row>
    <row r="6">
      <c r="I6">
        <f>F6+G6</f>
        <v/>
      </c>
      <c r="J6">
        <f>C6-I6</f>
        <v/>
      </c>
    </row>
    <row r="7">
      <c r="I7">
        <f>F7+G7</f>
        <v/>
      </c>
      <c r="J7">
        <f>C7-I7</f>
        <v/>
      </c>
    </row>
    <row r="8">
      <c r="I8">
        <f>F8+G8</f>
        <v/>
      </c>
      <c r="J8">
        <f>C8-I8</f>
        <v/>
      </c>
    </row>
    <row r="9">
      <c r="I9">
        <f>F9+G9</f>
        <v/>
      </c>
      <c r="J9">
        <f>C9-I9</f>
        <v/>
      </c>
    </row>
    <row r="10">
      <c r="I10">
        <f>F10+G10</f>
        <v/>
      </c>
      <c r="J10">
        <f>C10-I10</f>
        <v/>
      </c>
    </row>
    <row r="11">
      <c r="I11">
        <f>F11+G11</f>
        <v/>
      </c>
      <c r="J11">
        <f>C11-I11</f>
        <v/>
      </c>
    </row>
    <row r="12">
      <c r="I12">
        <f>F12+G12</f>
        <v/>
      </c>
      <c r="J12">
        <f>C12-I12</f>
        <v/>
      </c>
    </row>
    <row r="13">
      <c r="I13">
        <f>F13+G13</f>
        <v/>
      </c>
      <c r="J13">
        <f>C13-I13</f>
        <v/>
      </c>
    </row>
    <row r="14">
      <c r="I14">
        <f>F14+G14</f>
        <v/>
      </c>
      <c r="J14">
        <f>C14-I14</f>
        <v/>
      </c>
    </row>
    <row r="15">
      <c r="I15">
        <f>F15+G15</f>
        <v/>
      </c>
      <c r="J15">
        <f>C15-I15</f>
        <v/>
      </c>
    </row>
    <row r="16">
      <c r="I16">
        <f>F16+G16</f>
        <v/>
      </c>
      <c r="J16">
        <f>C16-I16</f>
        <v/>
      </c>
    </row>
    <row r="17">
      <c r="I17">
        <f>F17+G17</f>
        <v/>
      </c>
      <c r="J17">
        <f>C17-I17</f>
        <v/>
      </c>
    </row>
    <row r="18">
      <c r="I18">
        <f>F18+G18</f>
        <v/>
      </c>
      <c r="J18">
        <f>C18-I18</f>
        <v/>
      </c>
    </row>
    <row r="19">
      <c r="I19">
        <f>F19+G19</f>
        <v/>
      </c>
      <c r="J19">
        <f>C19-I19</f>
        <v/>
      </c>
    </row>
    <row r="20">
      <c r="I20">
        <f>F20+G20</f>
        <v/>
      </c>
      <c r="J20">
        <f>C20-I20</f>
        <v/>
      </c>
    </row>
    <row r="21">
      <c r="I21">
        <f>F21+G21</f>
        <v/>
      </c>
      <c r="J21">
        <f>C21-I21</f>
        <v/>
      </c>
    </row>
    <row r="22">
      <c r="I22">
        <f>F22+G22</f>
        <v/>
      </c>
      <c r="J22">
        <f>C22-I22</f>
        <v/>
      </c>
    </row>
    <row r="23">
      <c r="I23">
        <f>F23+G23</f>
        <v/>
      </c>
      <c r="J23">
        <f>C23-I23</f>
        <v/>
      </c>
    </row>
    <row r="24">
      <c r="I24">
        <f>F24+G24</f>
        <v/>
      </c>
      <c r="J24">
        <f>C24-I24</f>
        <v/>
      </c>
    </row>
    <row r="25">
      <c r="I25">
        <f>F25+G25</f>
        <v/>
      </c>
      <c r="J25">
        <f>C25-I25</f>
        <v/>
      </c>
    </row>
    <row r="26">
      <c r="I26">
        <f>F26+G26</f>
        <v/>
      </c>
      <c r="J26">
        <f>C26-I26</f>
        <v/>
      </c>
    </row>
    <row r="27">
      <c r="I27">
        <f>F27+G27</f>
        <v/>
      </c>
      <c r="J27">
        <f>C27-I27</f>
        <v/>
      </c>
    </row>
    <row r="28">
      <c r="I28">
        <f>F28+G28</f>
        <v/>
      </c>
      <c r="J28">
        <f>C28-I28</f>
        <v/>
      </c>
    </row>
    <row r="29">
      <c r="I29">
        <f>F29+G29</f>
        <v/>
      </c>
      <c r="J29">
        <f>C29-I29</f>
        <v/>
      </c>
    </row>
    <row r="30">
      <c r="I30">
        <f>F30+G30</f>
        <v/>
      </c>
      <c r="J30">
        <f>C30-I30</f>
        <v/>
      </c>
    </row>
    <row r="31">
      <c r="I31">
        <f>F31+G31</f>
        <v/>
      </c>
      <c r="J31">
        <f>C31-I31</f>
        <v/>
      </c>
    </row>
    <row r="32">
      <c r="I32">
        <f>F32+G32</f>
        <v/>
      </c>
      <c r="J32">
        <f>C32-I32</f>
        <v/>
      </c>
    </row>
    <row r="33">
      <c r="I33">
        <f>F33+G33</f>
        <v/>
      </c>
      <c r="J33">
        <f>C33-I33</f>
        <v/>
      </c>
    </row>
    <row r="34">
      <c r="I34">
        <f>F34+G34</f>
        <v/>
      </c>
      <c r="J34">
        <f>C34-I34</f>
        <v/>
      </c>
    </row>
    <row r="35">
      <c r="I35">
        <f>F35+G35</f>
        <v/>
      </c>
      <c r="J35">
        <f>C35-I35</f>
        <v/>
      </c>
    </row>
    <row r="36">
      <c r="I36">
        <f>F36+G36</f>
        <v/>
      </c>
      <c r="J36">
        <f>C36-I36</f>
        <v/>
      </c>
    </row>
    <row r="37">
      <c r="I37">
        <f>F37+G37</f>
        <v/>
      </c>
      <c r="J37">
        <f>C37-I37</f>
        <v/>
      </c>
    </row>
    <row r="38">
      <c r="I38">
        <f>F38+G38</f>
        <v/>
      </c>
      <c r="J38">
        <f>C38-I38</f>
        <v/>
      </c>
    </row>
    <row r="39">
      <c r="I39">
        <f>F39+G39</f>
        <v/>
      </c>
      <c r="J39">
        <f>C39-I39</f>
        <v/>
      </c>
    </row>
    <row r="40">
      <c r="I40">
        <f>F40+G40</f>
        <v/>
      </c>
      <c r="J40">
        <f>C40-I40</f>
        <v/>
      </c>
    </row>
    <row r="41">
      <c r="I41">
        <f>F41+G41</f>
        <v/>
      </c>
      <c r="J41">
        <f>C41-I41</f>
        <v/>
      </c>
    </row>
    <row r="42">
      <c r="I42">
        <f>F42+G42</f>
        <v/>
      </c>
      <c r="J42">
        <f>C42-I42</f>
        <v/>
      </c>
    </row>
    <row r="43">
      <c r="I43">
        <f>F43+G43</f>
        <v/>
      </c>
      <c r="J43">
        <f>C43-I43</f>
        <v/>
      </c>
    </row>
    <row r="44">
      <c r="I44">
        <f>F44+G44</f>
        <v/>
      </c>
      <c r="J44">
        <f>C44-I44</f>
        <v/>
      </c>
    </row>
    <row r="45">
      <c r="I45">
        <f>F45+G45</f>
        <v/>
      </c>
      <c r="J45">
        <f>C45-I45</f>
        <v/>
      </c>
    </row>
    <row r="46">
      <c r="I46">
        <f>F46+G46</f>
        <v/>
      </c>
      <c r="J46">
        <f>C46-I46</f>
        <v/>
      </c>
    </row>
    <row r="47">
      <c r="I47">
        <f>F47+G47</f>
        <v/>
      </c>
      <c r="J47">
        <f>C47-I47</f>
        <v/>
      </c>
    </row>
    <row r="48">
      <c r="I48">
        <f>F48+G48</f>
        <v/>
      </c>
      <c r="J48">
        <f>C48-I48</f>
        <v/>
      </c>
    </row>
    <row r="49">
      <c r="I49">
        <f>F49+G49</f>
        <v/>
      </c>
      <c r="J49">
        <f>C49-I49</f>
        <v/>
      </c>
    </row>
    <row r="50">
      <c r="I50">
        <f>F50+G50</f>
        <v/>
      </c>
      <c r="J50">
        <f>C50-I50</f>
        <v/>
      </c>
    </row>
    <row r="51">
      <c r="I51">
        <f>F51+G51</f>
        <v/>
      </c>
      <c r="J51">
        <f>C51-I51</f>
        <v/>
      </c>
    </row>
    <row r="52">
      <c r="I52">
        <f>F52+G52</f>
        <v/>
      </c>
      <c r="J52">
        <f>C52-I52</f>
        <v/>
      </c>
    </row>
    <row r="53">
      <c r="I53">
        <f>F53+G53</f>
        <v/>
      </c>
      <c r="J53">
        <f>C53-I53</f>
        <v/>
      </c>
    </row>
    <row r="54">
      <c r="I54">
        <f>F54+G54</f>
        <v/>
      </c>
      <c r="J54">
        <f>C54-I54</f>
        <v/>
      </c>
    </row>
    <row r="55">
      <c r="I55">
        <f>F55+G55</f>
        <v/>
      </c>
      <c r="J55">
        <f>C55-I55</f>
        <v/>
      </c>
    </row>
    <row r="56">
      <c r="I56">
        <f>F56+G56</f>
        <v/>
      </c>
      <c r="J56">
        <f>C56-I56</f>
        <v/>
      </c>
    </row>
    <row r="57">
      <c r="I57">
        <f>F57+G57</f>
        <v/>
      </c>
      <c r="J57">
        <f>C57-I57</f>
        <v/>
      </c>
    </row>
    <row r="58">
      <c r="I58">
        <f>F58+G58</f>
        <v/>
      </c>
      <c r="J58">
        <f>C58-I58</f>
        <v/>
      </c>
    </row>
    <row r="59">
      <c r="I59">
        <f>F59+G59</f>
        <v/>
      </c>
      <c r="J59">
        <f>C59-I59</f>
        <v/>
      </c>
    </row>
    <row r="60">
      <c r="I60">
        <f>F60+G60</f>
        <v/>
      </c>
      <c r="J60">
        <f>C60-I60</f>
        <v/>
      </c>
    </row>
    <row r="61">
      <c r="I61">
        <f>F61+G61</f>
        <v/>
      </c>
      <c r="J61">
        <f>C61-I61</f>
        <v/>
      </c>
    </row>
    <row r="62">
      <c r="I62">
        <f>F62+G62</f>
        <v/>
      </c>
      <c r="J62">
        <f>C62-I62</f>
        <v/>
      </c>
    </row>
    <row r="63">
      <c r="I63">
        <f>F63+G63</f>
        <v/>
      </c>
      <c r="J63">
        <f>C63-I63</f>
        <v/>
      </c>
    </row>
    <row r="64">
      <c r="I64">
        <f>F64+G64</f>
        <v/>
      </c>
      <c r="J64">
        <f>C64-I64</f>
        <v/>
      </c>
    </row>
    <row r="65">
      <c r="I65">
        <f>F65+G65</f>
        <v/>
      </c>
      <c r="J65">
        <f>C65-I65</f>
        <v/>
      </c>
    </row>
    <row r="66">
      <c r="I66">
        <f>F66+G66</f>
        <v/>
      </c>
      <c r="J66">
        <f>C66-I66</f>
        <v/>
      </c>
    </row>
    <row r="67">
      <c r="I67">
        <f>F67+G67</f>
        <v/>
      </c>
      <c r="J67">
        <f>C67-I67</f>
        <v/>
      </c>
    </row>
    <row r="68">
      <c r="I68">
        <f>F68+G68</f>
        <v/>
      </c>
      <c r="J68">
        <f>C68-I68</f>
        <v/>
      </c>
    </row>
    <row r="69">
      <c r="I69">
        <f>F69+G69</f>
        <v/>
      </c>
      <c r="J69">
        <f>C69-I69</f>
        <v/>
      </c>
    </row>
    <row r="70">
      <c r="I70">
        <f>F70+G70</f>
        <v/>
      </c>
      <c r="J70">
        <f>C70-I70</f>
        <v/>
      </c>
    </row>
    <row r="71">
      <c r="I71">
        <f>F71+G71</f>
        <v/>
      </c>
      <c r="J71">
        <f>C71-I71</f>
        <v/>
      </c>
    </row>
    <row r="72">
      <c r="I72">
        <f>F72+G72</f>
        <v/>
      </c>
      <c r="J72">
        <f>C72-I72</f>
        <v/>
      </c>
    </row>
    <row r="73">
      <c r="I73">
        <f>F73+G73</f>
        <v/>
      </c>
      <c r="J73">
        <f>C73-I73</f>
        <v/>
      </c>
    </row>
    <row r="74">
      <c r="I74">
        <f>F74+G74</f>
        <v/>
      </c>
      <c r="J74">
        <f>C74-I74</f>
        <v/>
      </c>
    </row>
    <row r="75">
      <c r="I75">
        <f>F75+G75</f>
        <v/>
      </c>
      <c r="J75">
        <f>C75-I75</f>
        <v/>
      </c>
    </row>
    <row r="76">
      <c r="I76">
        <f>F76+G76</f>
        <v/>
      </c>
      <c r="J76">
        <f>C76-I76</f>
        <v/>
      </c>
    </row>
    <row r="77">
      <c r="I77">
        <f>F77+G77</f>
        <v/>
      </c>
      <c r="J77">
        <f>C77-I77</f>
        <v/>
      </c>
    </row>
    <row r="78">
      <c r="I78">
        <f>F78+G78</f>
        <v/>
      </c>
      <c r="J78">
        <f>C78-I78</f>
        <v/>
      </c>
    </row>
    <row r="79">
      <c r="I79">
        <f>F79+G79</f>
        <v/>
      </c>
      <c r="J79">
        <f>C79-I79</f>
        <v/>
      </c>
    </row>
    <row r="80">
      <c r="I80">
        <f>F80+G80</f>
        <v/>
      </c>
      <c r="J80">
        <f>C80-I80</f>
        <v/>
      </c>
    </row>
    <row r="81">
      <c r="I81">
        <f>F81+G81</f>
        <v/>
      </c>
      <c r="J81">
        <f>C81-I81</f>
        <v/>
      </c>
    </row>
    <row r="82">
      <c r="I82">
        <f>F82+G82</f>
        <v/>
      </c>
      <c r="J82">
        <f>C82-I82</f>
        <v/>
      </c>
    </row>
    <row r="83">
      <c r="I83">
        <f>F83+G83</f>
        <v/>
      </c>
      <c r="J83">
        <f>C83-I83</f>
        <v/>
      </c>
    </row>
    <row r="84">
      <c r="I84">
        <f>F84+G84</f>
        <v/>
      </c>
      <c r="J84">
        <f>C84-I84</f>
        <v/>
      </c>
    </row>
    <row r="85">
      <c r="I85">
        <f>F85+G85</f>
        <v/>
      </c>
      <c r="J85">
        <f>C85-I85</f>
        <v/>
      </c>
    </row>
    <row r="86">
      <c r="I86">
        <f>F86+G86</f>
        <v/>
      </c>
      <c r="J86">
        <f>C86-I86</f>
        <v/>
      </c>
    </row>
    <row r="87">
      <c r="I87">
        <f>F87+G87</f>
        <v/>
      </c>
      <c r="J87">
        <f>C87-I87</f>
        <v/>
      </c>
    </row>
    <row r="88">
      <c r="I88">
        <f>F88+G88</f>
        <v/>
      </c>
      <c r="J88">
        <f>C88-I88</f>
        <v/>
      </c>
    </row>
    <row r="89">
      <c r="I89">
        <f>F89+G89</f>
        <v/>
      </c>
      <c r="J89">
        <f>C89-I89</f>
        <v/>
      </c>
    </row>
    <row r="90">
      <c r="I90">
        <f>F90+G90</f>
        <v/>
      </c>
      <c r="J90">
        <f>C90-I90</f>
        <v/>
      </c>
    </row>
    <row r="91">
      <c r="I91">
        <f>F91+G91</f>
        <v/>
      </c>
      <c r="J91">
        <f>C91-I91</f>
        <v/>
      </c>
    </row>
    <row r="92">
      <c r="I92">
        <f>F92+G92</f>
        <v/>
      </c>
      <c r="J92">
        <f>C92-I92</f>
        <v/>
      </c>
    </row>
    <row r="93">
      <c r="I93">
        <f>F93+G93</f>
        <v/>
      </c>
      <c r="J93">
        <f>C93-I93</f>
        <v/>
      </c>
    </row>
    <row r="94">
      <c r="I94">
        <f>F94+G94</f>
        <v/>
      </c>
      <c r="J94">
        <f>C94-I94</f>
        <v/>
      </c>
    </row>
    <row r="95">
      <c r="I95">
        <f>F95+G95</f>
        <v/>
      </c>
      <c r="J95">
        <f>C95-I95</f>
        <v/>
      </c>
    </row>
    <row r="96">
      <c r="I96">
        <f>F96+G96</f>
        <v/>
      </c>
      <c r="J96">
        <f>C96-I96</f>
        <v/>
      </c>
    </row>
    <row r="97">
      <c r="I97">
        <f>F97+G97</f>
        <v/>
      </c>
      <c r="J97">
        <f>C97-I97</f>
        <v/>
      </c>
    </row>
    <row r="98">
      <c r="I98">
        <f>F98+G98</f>
        <v/>
      </c>
      <c r="J98">
        <f>C98-I98</f>
        <v/>
      </c>
    </row>
    <row r="99">
      <c r="I99">
        <f>F99+G99</f>
        <v/>
      </c>
      <c r="J99">
        <f>C99-I99</f>
        <v/>
      </c>
    </row>
    <row r="100">
      <c r="I100">
        <f>F100+G100</f>
        <v/>
      </c>
      <c r="J100">
        <f>C100-I100</f>
        <v/>
      </c>
    </row>
    <row r="101">
      <c r="I101">
        <f>F101+G101</f>
        <v/>
      </c>
      <c r="J101">
        <f>C101-I101</f>
        <v/>
      </c>
    </row>
    <row r="102">
      <c r="I102">
        <f>F102+G102</f>
        <v/>
      </c>
      <c r="J102">
        <f>C102-I102</f>
        <v/>
      </c>
    </row>
    <row r="103">
      <c r="I103">
        <f>F103+G103</f>
        <v/>
      </c>
      <c r="J103">
        <f>C103-I103</f>
        <v/>
      </c>
    </row>
    <row r="104">
      <c r="I104">
        <f>F104+G104</f>
        <v/>
      </c>
      <c r="J104">
        <f>C104-I104</f>
        <v/>
      </c>
    </row>
    <row r="105">
      <c r="I105">
        <f>F105+G105</f>
        <v/>
      </c>
      <c r="J105">
        <f>C105-I105</f>
        <v/>
      </c>
    </row>
    <row r="106">
      <c r="I106">
        <f>F106+G106</f>
        <v/>
      </c>
      <c r="J106">
        <f>C106-I106</f>
        <v/>
      </c>
    </row>
    <row r="107">
      <c r="I107">
        <f>F107+G107</f>
        <v/>
      </c>
      <c r="J107">
        <f>C107-I107</f>
        <v/>
      </c>
    </row>
    <row r="108">
      <c r="I108">
        <f>F108+G108</f>
        <v/>
      </c>
      <c r="J108">
        <f>C108-I108</f>
        <v/>
      </c>
    </row>
    <row r="109">
      <c r="I109">
        <f>F109+G109</f>
        <v/>
      </c>
      <c r="J109">
        <f>C109-I109</f>
        <v/>
      </c>
    </row>
    <row r="110">
      <c r="I110">
        <f>F110+G110</f>
        <v/>
      </c>
      <c r="J110">
        <f>C110-I110</f>
        <v/>
      </c>
    </row>
    <row r="111">
      <c r="I111">
        <f>F111+G111</f>
        <v/>
      </c>
      <c r="J111">
        <f>C111-I111</f>
        <v/>
      </c>
    </row>
    <row r="112">
      <c r="I112">
        <f>F112+G112</f>
        <v/>
      </c>
      <c r="J112">
        <f>C112-I112</f>
        <v/>
      </c>
    </row>
    <row r="113">
      <c r="I113">
        <f>F113+G113</f>
        <v/>
      </c>
      <c r="J113">
        <f>C113-I113</f>
        <v/>
      </c>
    </row>
    <row r="114">
      <c r="I114">
        <f>F114+G114</f>
        <v/>
      </c>
      <c r="J114">
        <f>C114-I114</f>
        <v/>
      </c>
    </row>
    <row r="115">
      <c r="I115">
        <f>F115+G115</f>
        <v/>
      </c>
      <c r="J115">
        <f>C115-I115</f>
        <v/>
      </c>
    </row>
    <row r="116">
      <c r="I116">
        <f>F116+G116</f>
        <v/>
      </c>
      <c r="J116">
        <f>C116-I116</f>
        <v/>
      </c>
    </row>
    <row r="117">
      <c r="I117">
        <f>F117+G117</f>
        <v/>
      </c>
      <c r="J117">
        <f>C117-I117</f>
        <v/>
      </c>
    </row>
    <row r="118">
      <c r="I118">
        <f>F118+G118</f>
        <v/>
      </c>
      <c r="J118">
        <f>C118-I118</f>
        <v/>
      </c>
    </row>
    <row r="119">
      <c r="I119">
        <f>F119+G119</f>
        <v/>
      </c>
      <c r="J119">
        <f>C119-I119</f>
        <v/>
      </c>
    </row>
    <row r="120">
      <c r="I120">
        <f>F120+G120</f>
        <v/>
      </c>
      <c r="J120">
        <f>C120-I120</f>
        <v/>
      </c>
    </row>
    <row r="121">
      <c r="I121">
        <f>F121+G121</f>
        <v/>
      </c>
      <c r="J121">
        <f>C121-I121</f>
        <v/>
      </c>
    </row>
    <row r="122">
      <c r="I122">
        <f>F122+G122</f>
        <v/>
      </c>
      <c r="J122">
        <f>C122-I122</f>
        <v/>
      </c>
    </row>
    <row r="123">
      <c r="I123">
        <f>F123+G123</f>
        <v/>
      </c>
      <c r="J123">
        <f>C123-I123</f>
        <v/>
      </c>
    </row>
    <row r="124">
      <c r="I124">
        <f>F124+G124</f>
        <v/>
      </c>
      <c r="J124">
        <f>C124-I124</f>
        <v/>
      </c>
    </row>
    <row r="125">
      <c r="I125">
        <f>F125+G125</f>
        <v/>
      </c>
      <c r="J125">
        <f>C125-I125</f>
        <v/>
      </c>
    </row>
    <row r="126">
      <c r="I126">
        <f>F126+G126</f>
        <v/>
      </c>
      <c r="J126">
        <f>C126-I126</f>
        <v/>
      </c>
    </row>
    <row r="127">
      <c r="I127">
        <f>F127+G127</f>
        <v/>
      </c>
      <c r="J127">
        <f>C127-I127</f>
        <v/>
      </c>
    </row>
    <row r="128">
      <c r="I128">
        <f>F128+G128</f>
        <v/>
      </c>
      <c r="J128">
        <f>C128-I128</f>
        <v/>
      </c>
    </row>
    <row r="129">
      <c r="I129">
        <f>F129+G129</f>
        <v/>
      </c>
      <c r="J129">
        <f>C129-I129</f>
        <v/>
      </c>
    </row>
    <row r="130">
      <c r="I130">
        <f>F130+G130</f>
        <v/>
      </c>
      <c r="J130">
        <f>C130-I130</f>
        <v/>
      </c>
    </row>
    <row r="131">
      <c r="I131">
        <f>F131+G131</f>
        <v/>
      </c>
      <c r="J131">
        <f>C131-I131</f>
        <v/>
      </c>
    </row>
    <row r="132">
      <c r="I132">
        <f>F132+G132</f>
        <v/>
      </c>
      <c r="J132">
        <f>C132-I132</f>
        <v/>
      </c>
    </row>
    <row r="133">
      <c r="I133">
        <f>F133+G133</f>
        <v/>
      </c>
      <c r="J133">
        <f>C133-I133</f>
        <v/>
      </c>
    </row>
    <row r="134">
      <c r="I134">
        <f>F134+G134</f>
        <v/>
      </c>
      <c r="J134">
        <f>C134-I134</f>
        <v/>
      </c>
    </row>
    <row r="135">
      <c r="I135">
        <f>F135+G135</f>
        <v/>
      </c>
      <c r="J135">
        <f>C135-I135</f>
        <v/>
      </c>
    </row>
    <row r="136">
      <c r="I136">
        <f>F136+G136</f>
        <v/>
      </c>
      <c r="J136">
        <f>C136-I136</f>
        <v/>
      </c>
    </row>
    <row r="137">
      <c r="I137">
        <f>F137+G137</f>
        <v/>
      </c>
      <c r="J137">
        <f>C137-I137</f>
        <v/>
      </c>
    </row>
    <row r="138">
      <c r="I138">
        <f>F138+G138</f>
        <v/>
      </c>
      <c r="J138">
        <f>C138-I138</f>
        <v/>
      </c>
    </row>
    <row r="139">
      <c r="I139">
        <f>F139+G139</f>
        <v/>
      </c>
      <c r="J139">
        <f>C139-I139</f>
        <v/>
      </c>
    </row>
    <row r="140">
      <c r="I140">
        <f>F140+G140</f>
        <v/>
      </c>
      <c r="J140">
        <f>C140-I140</f>
        <v/>
      </c>
    </row>
    <row r="141">
      <c r="I141">
        <f>F141+G141</f>
        <v/>
      </c>
      <c r="J141">
        <f>C141-I141</f>
        <v/>
      </c>
    </row>
    <row r="142">
      <c r="I142">
        <f>F142+G142</f>
        <v/>
      </c>
      <c r="J142">
        <f>C142-I142</f>
        <v/>
      </c>
    </row>
    <row r="143">
      <c r="I143">
        <f>F143+G143</f>
        <v/>
      </c>
      <c r="J143">
        <f>C143-I143</f>
        <v/>
      </c>
    </row>
    <row r="144">
      <c r="I144">
        <f>F144+G144</f>
        <v/>
      </c>
      <c r="J144">
        <f>C144-I144</f>
        <v/>
      </c>
    </row>
    <row r="145">
      <c r="I145">
        <f>F145+G145</f>
        <v/>
      </c>
      <c r="J145">
        <f>C145-I145</f>
        <v/>
      </c>
    </row>
    <row r="146">
      <c r="I146">
        <f>F146+G146</f>
        <v/>
      </c>
      <c r="J146">
        <f>C146-I146</f>
        <v/>
      </c>
    </row>
    <row r="147">
      <c r="I147">
        <f>F147+G147</f>
        <v/>
      </c>
      <c r="J147">
        <f>C147-I147</f>
        <v/>
      </c>
    </row>
    <row r="148">
      <c r="I148">
        <f>F148+G148</f>
        <v/>
      </c>
      <c r="J148">
        <f>C148-I148</f>
        <v/>
      </c>
    </row>
    <row r="149">
      <c r="I149">
        <f>F149+G149</f>
        <v/>
      </c>
      <c r="J149">
        <f>C149-I149</f>
        <v/>
      </c>
    </row>
    <row r="150">
      <c r="I150">
        <f>F150+G150</f>
        <v/>
      </c>
      <c r="J150">
        <f>C150-I150</f>
        <v/>
      </c>
    </row>
    <row r="151">
      <c r="I151">
        <f>F151+G151</f>
        <v/>
      </c>
      <c r="J151">
        <f>C151-I151</f>
        <v/>
      </c>
    </row>
    <row r="152">
      <c r="I152">
        <f>F152+G152</f>
        <v/>
      </c>
      <c r="J152">
        <f>C152-I152</f>
        <v/>
      </c>
    </row>
    <row r="153">
      <c r="I153">
        <f>F153+G153</f>
        <v/>
      </c>
      <c r="J153">
        <f>C153-I153</f>
        <v/>
      </c>
    </row>
    <row r="154">
      <c r="I154">
        <f>F154+G154</f>
        <v/>
      </c>
      <c r="J154">
        <f>C154-I154</f>
        <v/>
      </c>
    </row>
    <row r="155">
      <c r="I155">
        <f>F155+G155</f>
        <v/>
      </c>
      <c r="J155">
        <f>C155-I155</f>
        <v/>
      </c>
    </row>
    <row r="156">
      <c r="I156">
        <f>F156+G156</f>
        <v/>
      </c>
      <c r="J156">
        <f>C156-I156</f>
        <v/>
      </c>
    </row>
    <row r="157">
      <c r="I157">
        <f>F157+G157</f>
        <v/>
      </c>
      <c r="J157">
        <f>C157-I157</f>
        <v/>
      </c>
    </row>
    <row r="158">
      <c r="I158">
        <f>F158+G158</f>
        <v/>
      </c>
      <c r="J158">
        <f>C158-I158</f>
        <v/>
      </c>
    </row>
    <row r="159">
      <c r="I159">
        <f>F159+G159</f>
        <v/>
      </c>
      <c r="J159">
        <f>C159-I159</f>
        <v/>
      </c>
    </row>
    <row r="160">
      <c r="I160">
        <f>F160+G160</f>
        <v/>
      </c>
      <c r="J160">
        <f>C160-I160</f>
        <v/>
      </c>
    </row>
    <row r="161">
      <c r="I161">
        <f>F161+G161</f>
        <v/>
      </c>
      <c r="J161">
        <f>C161-I161</f>
        <v/>
      </c>
    </row>
    <row r="162">
      <c r="I162">
        <f>F162+G162</f>
        <v/>
      </c>
      <c r="J162">
        <f>C162-I162</f>
        <v/>
      </c>
    </row>
    <row r="163">
      <c r="I163">
        <f>F163+G163</f>
        <v/>
      </c>
      <c r="J163">
        <f>C163-I163</f>
        <v/>
      </c>
    </row>
    <row r="164">
      <c r="I164">
        <f>F164+G164</f>
        <v/>
      </c>
      <c r="J164">
        <f>C164-I164</f>
        <v/>
      </c>
    </row>
    <row r="165">
      <c r="I165">
        <f>F165+G165</f>
        <v/>
      </c>
      <c r="J165">
        <f>C165-I165</f>
        <v/>
      </c>
    </row>
    <row r="166">
      <c r="I166">
        <f>F166+G166</f>
        <v/>
      </c>
      <c r="J166">
        <f>C166-I166</f>
        <v/>
      </c>
    </row>
    <row r="167">
      <c r="I167">
        <f>F167+G167</f>
        <v/>
      </c>
      <c r="J167">
        <f>C167-I167</f>
        <v/>
      </c>
    </row>
    <row r="168">
      <c r="I168">
        <f>F168+G168</f>
        <v/>
      </c>
      <c r="J168">
        <f>C168-I168</f>
        <v/>
      </c>
    </row>
    <row r="169">
      <c r="I169">
        <f>F169+G169</f>
        <v/>
      </c>
      <c r="J169">
        <f>C169-I169</f>
        <v/>
      </c>
    </row>
    <row r="170">
      <c r="I170">
        <f>F170+G170</f>
        <v/>
      </c>
      <c r="J170">
        <f>C170-I170</f>
        <v/>
      </c>
    </row>
    <row r="171">
      <c r="I171">
        <f>F171+G171</f>
        <v/>
      </c>
      <c r="J171">
        <f>C171-I171</f>
        <v/>
      </c>
    </row>
    <row r="172">
      <c r="I172">
        <f>F172+G172</f>
        <v/>
      </c>
      <c r="J172">
        <f>C172-I172</f>
        <v/>
      </c>
    </row>
    <row r="173">
      <c r="I173">
        <f>F173+G173</f>
        <v/>
      </c>
      <c r="J173">
        <f>C173-I173</f>
        <v/>
      </c>
    </row>
    <row r="174">
      <c r="I174">
        <f>F174+G174</f>
        <v/>
      </c>
      <c r="J174">
        <f>C174-I174</f>
        <v/>
      </c>
    </row>
    <row r="175">
      <c r="I175">
        <f>F175+G175</f>
        <v/>
      </c>
      <c r="J175">
        <f>C175-I175</f>
        <v/>
      </c>
    </row>
    <row r="176">
      <c r="I176">
        <f>F176+G176</f>
        <v/>
      </c>
      <c r="J176">
        <f>C176-I176</f>
        <v/>
      </c>
    </row>
    <row r="177">
      <c r="I177">
        <f>F177+G177</f>
        <v/>
      </c>
      <c r="J177">
        <f>C177-I177</f>
        <v/>
      </c>
    </row>
    <row r="178">
      <c r="I178">
        <f>F178+G178</f>
        <v/>
      </c>
      <c r="J178">
        <f>C178-I178</f>
        <v/>
      </c>
    </row>
    <row r="179">
      <c r="I179">
        <f>F179+G179</f>
        <v/>
      </c>
      <c r="J179">
        <f>C179-I179</f>
        <v/>
      </c>
    </row>
    <row r="180">
      <c r="I180">
        <f>F180+G180</f>
        <v/>
      </c>
      <c r="J180">
        <f>C180-I180</f>
        <v/>
      </c>
    </row>
    <row r="181">
      <c r="I181">
        <f>F181+G181</f>
        <v/>
      </c>
      <c r="J181">
        <f>C181-I181</f>
        <v/>
      </c>
    </row>
    <row r="182">
      <c r="I182">
        <f>F182+G182</f>
        <v/>
      </c>
      <c r="J182">
        <f>C182-I182</f>
        <v/>
      </c>
    </row>
    <row r="183">
      <c r="I183">
        <f>F183+G183</f>
        <v/>
      </c>
      <c r="J183">
        <f>C183-I183</f>
        <v/>
      </c>
    </row>
    <row r="184">
      <c r="I184">
        <f>F184+G184</f>
        <v/>
      </c>
      <c r="J184">
        <f>C184-I184</f>
        <v/>
      </c>
    </row>
    <row r="185">
      <c r="I185">
        <f>F185+G185</f>
        <v/>
      </c>
      <c r="J185">
        <f>C185-I185</f>
        <v/>
      </c>
    </row>
    <row r="186">
      <c r="I186">
        <f>F186+G186</f>
        <v/>
      </c>
      <c r="J186">
        <f>C186-I186</f>
        <v/>
      </c>
    </row>
    <row r="187">
      <c r="I187">
        <f>F187+G187</f>
        <v/>
      </c>
      <c r="J187">
        <f>C187-I187</f>
        <v/>
      </c>
    </row>
    <row r="188">
      <c r="I188">
        <f>F188+G188</f>
        <v/>
      </c>
      <c r="J188">
        <f>C188-I188</f>
        <v/>
      </c>
    </row>
    <row r="189">
      <c r="I189">
        <f>F189+G189</f>
        <v/>
      </c>
      <c r="J189">
        <f>C189-I189</f>
        <v/>
      </c>
    </row>
    <row r="190">
      <c r="I190">
        <f>F190+G190</f>
        <v/>
      </c>
      <c r="J190">
        <f>C190-I190</f>
        <v/>
      </c>
    </row>
    <row r="191">
      <c r="I191">
        <f>F191+G191</f>
        <v/>
      </c>
      <c r="J191">
        <f>C191-I191</f>
        <v/>
      </c>
    </row>
    <row r="192">
      <c r="I192">
        <f>F192+G192</f>
        <v/>
      </c>
      <c r="J192">
        <f>C192-I192</f>
        <v/>
      </c>
    </row>
    <row r="193">
      <c r="I193">
        <f>F193+G193</f>
        <v/>
      </c>
      <c r="J193">
        <f>C193-I193</f>
        <v/>
      </c>
    </row>
    <row r="194">
      <c r="I194">
        <f>F194+G194</f>
        <v/>
      </c>
      <c r="J194">
        <f>C194-I194</f>
        <v/>
      </c>
    </row>
    <row r="195">
      <c r="I195">
        <f>F195+G195</f>
        <v/>
      </c>
      <c r="J195">
        <f>C195-I195</f>
        <v/>
      </c>
    </row>
    <row r="196">
      <c r="I196">
        <f>F196+G196</f>
        <v/>
      </c>
      <c r="J196">
        <f>C196-I196</f>
        <v/>
      </c>
    </row>
    <row r="197">
      <c r="I197">
        <f>F197+G197</f>
        <v/>
      </c>
      <c r="J197">
        <f>C197-I197</f>
        <v/>
      </c>
    </row>
    <row r="198">
      <c r="I198">
        <f>F198+G198</f>
        <v/>
      </c>
      <c r="J198">
        <f>C198-I198</f>
        <v/>
      </c>
    </row>
    <row r="199">
      <c r="I199">
        <f>F199+G199</f>
        <v/>
      </c>
      <c r="J199">
        <f>C199-I199</f>
        <v/>
      </c>
    </row>
    <row r="200">
      <c r="I200">
        <f>F200+G200</f>
        <v/>
      </c>
      <c r="J200">
        <f>C200-I200</f>
        <v/>
      </c>
    </row>
    <row r="201">
      <c r="I201">
        <f>F201+G201</f>
        <v/>
      </c>
      <c r="J201">
        <f>C201-I201</f>
        <v/>
      </c>
    </row>
    <row r="202">
      <c r="I202">
        <f>F202+G202</f>
        <v/>
      </c>
      <c r="J202">
        <f>C202-I202</f>
        <v/>
      </c>
    </row>
    <row r="203">
      <c r="I203">
        <f>F203+G203</f>
        <v/>
      </c>
      <c r="J203">
        <f>C203-I203</f>
        <v/>
      </c>
    </row>
    <row r="204">
      <c r="I204">
        <f>F204+G204</f>
        <v/>
      </c>
      <c r="J204">
        <f>C204-I204</f>
        <v/>
      </c>
    </row>
    <row r="205">
      <c r="I205">
        <f>F205+G205</f>
        <v/>
      </c>
      <c r="J205">
        <f>C205-I205</f>
        <v/>
      </c>
    </row>
    <row r="206">
      <c r="I206">
        <f>F206+G206</f>
        <v/>
      </c>
      <c r="J206">
        <f>C206-I206</f>
        <v/>
      </c>
    </row>
    <row r="207">
      <c r="I207">
        <f>F207+G207</f>
        <v/>
      </c>
      <c r="J207">
        <f>C207-I207</f>
        <v/>
      </c>
    </row>
    <row r="208">
      <c r="I208">
        <f>F208+G208</f>
        <v/>
      </c>
      <c r="J208">
        <f>C208-I208</f>
        <v/>
      </c>
    </row>
    <row r="209">
      <c r="I209">
        <f>F209+G209</f>
        <v/>
      </c>
      <c r="J209">
        <f>C209-I209</f>
        <v/>
      </c>
    </row>
    <row r="210">
      <c r="I210">
        <f>F210+G210</f>
        <v/>
      </c>
      <c r="J210">
        <f>C210-I210</f>
        <v/>
      </c>
    </row>
    <row r="211">
      <c r="I211">
        <f>F211+G211</f>
        <v/>
      </c>
      <c r="J211">
        <f>C211-I211</f>
        <v/>
      </c>
    </row>
    <row r="212">
      <c r="I212">
        <f>F212+G212</f>
        <v/>
      </c>
      <c r="J212">
        <f>C212-I212</f>
        <v/>
      </c>
    </row>
    <row r="213">
      <c r="I213">
        <f>F213+G213</f>
        <v/>
      </c>
      <c r="J213">
        <f>C213-I213</f>
        <v/>
      </c>
    </row>
    <row r="214">
      <c r="I214">
        <f>F214+G214</f>
        <v/>
      </c>
      <c r="J214">
        <f>C214-I214</f>
        <v/>
      </c>
    </row>
    <row r="215">
      <c r="I215">
        <f>F215+G215</f>
        <v/>
      </c>
      <c r="J215">
        <f>C215-I215</f>
        <v/>
      </c>
    </row>
    <row r="216">
      <c r="I216">
        <f>F216+G216</f>
        <v/>
      </c>
      <c r="J216">
        <f>C216-I216</f>
        <v/>
      </c>
    </row>
    <row r="217">
      <c r="I217">
        <f>F217+G217</f>
        <v/>
      </c>
      <c r="J217">
        <f>C217-I217</f>
        <v/>
      </c>
    </row>
    <row r="218">
      <c r="I218">
        <f>F218+G218</f>
        <v/>
      </c>
      <c r="J218">
        <f>C218-I218</f>
        <v/>
      </c>
    </row>
    <row r="219">
      <c r="I219">
        <f>F219+G219</f>
        <v/>
      </c>
      <c r="J219">
        <f>C219-I219</f>
        <v/>
      </c>
    </row>
    <row r="220">
      <c r="I220">
        <f>F220+G220</f>
        <v/>
      </c>
      <c r="J220">
        <f>C220-I220</f>
        <v/>
      </c>
    </row>
    <row r="221">
      <c r="I221">
        <f>F221+G221</f>
        <v/>
      </c>
      <c r="J221">
        <f>C221-I221</f>
        <v/>
      </c>
    </row>
    <row r="222">
      <c r="I222">
        <f>F222+G222</f>
        <v/>
      </c>
      <c r="J222">
        <f>C222-I222</f>
        <v/>
      </c>
    </row>
    <row r="223">
      <c r="I223">
        <f>F223+G223</f>
        <v/>
      </c>
      <c r="J223">
        <f>C223-I223</f>
        <v/>
      </c>
    </row>
    <row r="224">
      <c r="I224">
        <f>F224+G224</f>
        <v/>
      </c>
      <c r="J224">
        <f>C224-I224</f>
        <v/>
      </c>
    </row>
    <row r="225">
      <c r="I225">
        <f>F225+G225</f>
        <v/>
      </c>
      <c r="J225">
        <f>C225-I225</f>
        <v/>
      </c>
    </row>
    <row r="226">
      <c r="I226">
        <f>F226+G226</f>
        <v/>
      </c>
      <c r="J226">
        <f>C226-I226</f>
        <v/>
      </c>
    </row>
    <row r="227">
      <c r="I227">
        <f>F227+G227</f>
        <v/>
      </c>
      <c r="J227">
        <f>C227-I227</f>
        <v/>
      </c>
    </row>
    <row r="228">
      <c r="I228">
        <f>F228+G228</f>
        <v/>
      </c>
      <c r="J228">
        <f>C228-I228</f>
        <v/>
      </c>
    </row>
    <row r="229">
      <c r="I229">
        <f>F229+G229</f>
        <v/>
      </c>
      <c r="J229">
        <f>C229-I229</f>
        <v/>
      </c>
    </row>
    <row r="230">
      <c r="I230">
        <f>F230+G230</f>
        <v/>
      </c>
      <c r="J230">
        <f>C230-I230</f>
        <v/>
      </c>
    </row>
    <row r="231">
      <c r="I231">
        <f>F231+G231</f>
        <v/>
      </c>
      <c r="J231">
        <f>C231-I231</f>
        <v/>
      </c>
    </row>
    <row r="232">
      <c r="I232">
        <f>F232+G232</f>
        <v/>
      </c>
      <c r="J232">
        <f>C232-I232</f>
        <v/>
      </c>
    </row>
    <row r="233">
      <c r="I233">
        <f>F233+G233</f>
        <v/>
      </c>
      <c r="J233">
        <f>C233-I233</f>
        <v/>
      </c>
    </row>
    <row r="234">
      <c r="I234">
        <f>F234+G234</f>
        <v/>
      </c>
      <c r="J234">
        <f>C234-I234</f>
        <v/>
      </c>
    </row>
    <row r="235">
      <c r="I235">
        <f>F235+G235</f>
        <v/>
      </c>
      <c r="J235">
        <f>C235-I235</f>
        <v/>
      </c>
    </row>
    <row r="236">
      <c r="I236">
        <f>F236+G236</f>
        <v/>
      </c>
      <c r="J236">
        <f>C236-I236</f>
        <v/>
      </c>
    </row>
    <row r="237">
      <c r="I237">
        <f>F237+G237</f>
        <v/>
      </c>
      <c r="J237">
        <f>C237-I237</f>
        <v/>
      </c>
    </row>
    <row r="238">
      <c r="I238">
        <f>F238+G238</f>
        <v/>
      </c>
      <c r="J238">
        <f>C238-I238</f>
        <v/>
      </c>
    </row>
    <row r="239">
      <c r="I239">
        <f>F239+G239</f>
        <v/>
      </c>
      <c r="J239">
        <f>C239-I239</f>
        <v/>
      </c>
    </row>
    <row r="240">
      <c r="I240">
        <f>F240+G240</f>
        <v/>
      </c>
      <c r="J240">
        <f>C240-I240</f>
        <v/>
      </c>
    </row>
    <row r="241">
      <c r="I241">
        <f>F241+G241</f>
        <v/>
      </c>
      <c r="J241">
        <f>C241-I241</f>
        <v/>
      </c>
    </row>
    <row r="242">
      <c r="I242">
        <f>F242+G242</f>
        <v/>
      </c>
      <c r="J242">
        <f>C242-I242</f>
        <v/>
      </c>
    </row>
    <row r="243">
      <c r="I243">
        <f>F243+G243</f>
        <v/>
      </c>
      <c r="J243">
        <f>C243-I243</f>
        <v/>
      </c>
    </row>
    <row r="244">
      <c r="I244">
        <f>F244+G244</f>
        <v/>
      </c>
      <c r="J244">
        <f>C244-I244</f>
        <v/>
      </c>
    </row>
    <row r="245">
      <c r="I245">
        <f>F245+G245</f>
        <v/>
      </c>
      <c r="J245">
        <f>C245-I245</f>
        <v/>
      </c>
    </row>
    <row r="246">
      <c r="I246">
        <f>F246+G246</f>
        <v/>
      </c>
      <c r="J246">
        <f>C246-I246</f>
        <v/>
      </c>
    </row>
    <row r="247">
      <c r="I247">
        <f>F247+G247</f>
        <v/>
      </c>
      <c r="J247">
        <f>C247-I247</f>
        <v/>
      </c>
    </row>
    <row r="248">
      <c r="I248">
        <f>F248+G248</f>
        <v/>
      </c>
      <c r="J248">
        <f>C248-I248</f>
        <v/>
      </c>
    </row>
    <row r="249">
      <c r="I249">
        <f>F249+G249</f>
        <v/>
      </c>
      <c r="J249">
        <f>C249-I249</f>
        <v/>
      </c>
    </row>
    <row r="250">
      <c r="I250">
        <f>F250+G250</f>
        <v/>
      </c>
      <c r="J250">
        <f>C250-I250</f>
        <v/>
      </c>
    </row>
    <row r="251">
      <c r="I251">
        <f>F251+G251</f>
        <v/>
      </c>
      <c r="J251">
        <f>C251-I251</f>
        <v/>
      </c>
    </row>
    <row r="252">
      <c r="I252">
        <f>F252+G252</f>
        <v/>
      </c>
      <c r="J252">
        <f>C252-I252</f>
        <v/>
      </c>
    </row>
    <row r="253">
      <c r="I253">
        <f>F253+G253</f>
        <v/>
      </c>
      <c r="J253">
        <f>C253-I253</f>
        <v/>
      </c>
    </row>
    <row r="254">
      <c r="I254">
        <f>F254+G254</f>
        <v/>
      </c>
      <c r="J254">
        <f>C254-I254</f>
        <v/>
      </c>
    </row>
    <row r="255">
      <c r="I255">
        <f>F255+G255</f>
        <v/>
      </c>
      <c r="J255">
        <f>C255-I255</f>
        <v/>
      </c>
    </row>
    <row r="256">
      <c r="I256">
        <f>F256+G256</f>
        <v/>
      </c>
      <c r="J256">
        <f>C256-I256</f>
        <v/>
      </c>
    </row>
    <row r="257">
      <c r="I257">
        <f>F257+G257</f>
        <v/>
      </c>
      <c r="J257">
        <f>C257-I257</f>
        <v/>
      </c>
    </row>
    <row r="258">
      <c r="I258">
        <f>F258+G258</f>
        <v/>
      </c>
      <c r="J258">
        <f>C258-I258</f>
        <v/>
      </c>
    </row>
    <row r="259">
      <c r="I259">
        <f>F259+G259</f>
        <v/>
      </c>
      <c r="J259">
        <f>C259-I259</f>
        <v/>
      </c>
    </row>
    <row r="260">
      <c r="I260">
        <f>F260+G260</f>
        <v/>
      </c>
      <c r="J260">
        <f>C260-I260</f>
        <v/>
      </c>
    </row>
    <row r="261">
      <c r="I261">
        <f>F261+G261</f>
        <v/>
      </c>
      <c r="J261">
        <f>C261-I261</f>
        <v/>
      </c>
    </row>
    <row r="262">
      <c r="I262">
        <f>F262+G262</f>
        <v/>
      </c>
      <c r="J262">
        <f>C262-I262</f>
        <v/>
      </c>
    </row>
    <row r="263">
      <c r="I263">
        <f>F263+G263</f>
        <v/>
      </c>
      <c r="J263">
        <f>C263-I263</f>
        <v/>
      </c>
    </row>
    <row r="264">
      <c r="I264">
        <f>F264+G264</f>
        <v/>
      </c>
      <c r="J264">
        <f>C264-I264</f>
        <v/>
      </c>
    </row>
    <row r="265">
      <c r="I265">
        <f>F265+G265</f>
        <v/>
      </c>
      <c r="J265">
        <f>C265-I265</f>
        <v/>
      </c>
    </row>
    <row r="266">
      <c r="I266">
        <f>F266+G266</f>
        <v/>
      </c>
      <c r="J266">
        <f>C266-I266</f>
        <v/>
      </c>
    </row>
    <row r="267">
      <c r="I267">
        <f>F267+G267</f>
        <v/>
      </c>
      <c r="J267">
        <f>C267-I267</f>
        <v/>
      </c>
    </row>
    <row r="268">
      <c r="I268">
        <f>F268+G268</f>
        <v/>
      </c>
      <c r="J268">
        <f>C268-I268</f>
        <v/>
      </c>
    </row>
    <row r="269">
      <c r="I269">
        <f>F269+G269</f>
        <v/>
      </c>
      <c r="J269">
        <f>C269-I269</f>
        <v/>
      </c>
    </row>
    <row r="270">
      <c r="I270">
        <f>F270+G270</f>
        <v/>
      </c>
      <c r="J270">
        <f>C270-I270</f>
        <v/>
      </c>
    </row>
    <row r="271">
      <c r="I271">
        <f>F271+G271</f>
        <v/>
      </c>
      <c r="J271">
        <f>C271-I271</f>
        <v/>
      </c>
    </row>
    <row r="272">
      <c r="I272">
        <f>F272+G272</f>
        <v/>
      </c>
      <c r="J272">
        <f>C272-I272</f>
        <v/>
      </c>
    </row>
    <row r="273">
      <c r="I273">
        <f>F273+G273</f>
        <v/>
      </c>
      <c r="J273">
        <f>C273-I273</f>
        <v/>
      </c>
    </row>
    <row r="274">
      <c r="I274">
        <f>F274+G274</f>
        <v/>
      </c>
      <c r="J274">
        <f>C274-I274</f>
        <v/>
      </c>
    </row>
    <row r="275">
      <c r="I275">
        <f>F275+G275</f>
        <v/>
      </c>
      <c r="J275">
        <f>C275-I275</f>
        <v/>
      </c>
    </row>
    <row r="276">
      <c r="I276">
        <f>F276+G276</f>
        <v/>
      </c>
      <c r="J276">
        <f>C276-I276</f>
        <v/>
      </c>
    </row>
    <row r="277">
      <c r="I277">
        <f>F277+G277</f>
        <v/>
      </c>
      <c r="J277">
        <f>C277-I277</f>
        <v/>
      </c>
    </row>
    <row r="278">
      <c r="I278">
        <f>F278+G278</f>
        <v/>
      </c>
      <c r="J278">
        <f>C278-I278</f>
        <v/>
      </c>
    </row>
    <row r="279">
      <c r="I279">
        <f>F279+G279</f>
        <v/>
      </c>
      <c r="J279">
        <f>C279-I279</f>
        <v/>
      </c>
    </row>
    <row r="280">
      <c r="I280">
        <f>F280+G280</f>
        <v/>
      </c>
      <c r="J280">
        <f>C280-I280</f>
        <v/>
      </c>
    </row>
    <row r="281">
      <c r="I281">
        <f>F281+G281</f>
        <v/>
      </c>
      <c r="J281">
        <f>C281-I281</f>
        <v/>
      </c>
    </row>
    <row r="282">
      <c r="I282">
        <f>F282+G282</f>
        <v/>
      </c>
      <c r="J282">
        <f>C282-I282</f>
        <v/>
      </c>
    </row>
    <row r="283">
      <c r="I283">
        <f>F283+G283</f>
        <v/>
      </c>
      <c r="J283">
        <f>C283-I283</f>
        <v/>
      </c>
    </row>
    <row r="284">
      <c r="I284">
        <f>F284+G284</f>
        <v/>
      </c>
      <c r="J284">
        <f>C284-I284</f>
        <v/>
      </c>
    </row>
    <row r="285">
      <c r="I285">
        <f>F285+G285</f>
        <v/>
      </c>
      <c r="J285">
        <f>C285-I285</f>
        <v/>
      </c>
    </row>
    <row r="286">
      <c r="I286">
        <f>F286+G286</f>
        <v/>
      </c>
      <c r="J286">
        <f>C286-I286</f>
        <v/>
      </c>
    </row>
    <row r="287">
      <c r="I287">
        <f>F287+G287</f>
        <v/>
      </c>
      <c r="J287">
        <f>C287-I287</f>
        <v/>
      </c>
    </row>
    <row r="288">
      <c r="I288">
        <f>F288+G288</f>
        <v/>
      </c>
      <c r="J288">
        <f>C288-I288</f>
        <v/>
      </c>
    </row>
    <row r="289">
      <c r="I289">
        <f>F289+G289</f>
        <v/>
      </c>
      <c r="J289">
        <f>C289-I289</f>
        <v/>
      </c>
    </row>
    <row r="290">
      <c r="I290">
        <f>F290+G290</f>
        <v/>
      </c>
      <c r="J290">
        <f>C290-I290</f>
        <v/>
      </c>
    </row>
    <row r="291">
      <c r="I291">
        <f>F291+G291</f>
        <v/>
      </c>
      <c r="J291">
        <f>C291-I291</f>
        <v/>
      </c>
    </row>
    <row r="292">
      <c r="I292">
        <f>F292+G292</f>
        <v/>
      </c>
      <c r="J292">
        <f>C292-I292</f>
        <v/>
      </c>
    </row>
    <row r="293">
      <c r="I293">
        <f>F293+G293</f>
        <v/>
      </c>
      <c r="J293">
        <f>C293-I293</f>
        <v/>
      </c>
    </row>
    <row r="294">
      <c r="I294">
        <f>F294+G294</f>
        <v/>
      </c>
      <c r="J294">
        <f>C294-I294</f>
        <v/>
      </c>
    </row>
    <row r="295">
      <c r="I295">
        <f>F295+G295</f>
        <v/>
      </c>
      <c r="J295">
        <f>C295-I295</f>
        <v/>
      </c>
    </row>
    <row r="296">
      <c r="I296">
        <f>F296+G296</f>
        <v/>
      </c>
      <c r="J296">
        <f>C296-I296</f>
        <v/>
      </c>
    </row>
    <row r="297">
      <c r="I297">
        <f>F297+G297</f>
        <v/>
      </c>
      <c r="J297">
        <f>C297-I297</f>
        <v/>
      </c>
    </row>
    <row r="298">
      <c r="I298">
        <f>F298+G298</f>
        <v/>
      </c>
      <c r="J298">
        <f>C298-I298</f>
        <v/>
      </c>
    </row>
    <row r="299">
      <c r="I299">
        <f>F299+G299</f>
        <v/>
      </c>
      <c r="J299">
        <f>C299-I299</f>
        <v/>
      </c>
    </row>
    <row r="300">
      <c r="I300">
        <f>F300+G300</f>
        <v/>
      </c>
      <c r="J300">
        <f>C300-I300</f>
        <v/>
      </c>
    </row>
    <row r="301">
      <c r="I301">
        <f>F301+G301</f>
        <v/>
      </c>
      <c r="J301">
        <f>C301-I301</f>
        <v/>
      </c>
    </row>
    <row r="302">
      <c r="I302">
        <f>F302+G302</f>
        <v/>
      </c>
      <c r="J302">
        <f>C302-I302</f>
        <v/>
      </c>
    </row>
    <row r="303">
      <c r="I303">
        <f>F303+G303</f>
        <v/>
      </c>
      <c r="J303">
        <f>C303-I303</f>
        <v/>
      </c>
    </row>
    <row r="304">
      <c r="I304">
        <f>F304+G304</f>
        <v/>
      </c>
      <c r="J304">
        <f>C304-I304</f>
        <v/>
      </c>
    </row>
    <row r="305">
      <c r="I305">
        <f>F305+G305</f>
        <v/>
      </c>
      <c r="J305">
        <f>C305-I305</f>
        <v/>
      </c>
    </row>
    <row r="306">
      <c r="I306">
        <f>F306+G306</f>
        <v/>
      </c>
      <c r="J306">
        <f>C306-I306</f>
        <v/>
      </c>
    </row>
    <row r="307">
      <c r="I307">
        <f>F307+G307</f>
        <v/>
      </c>
      <c r="J307">
        <f>C307-I307</f>
        <v/>
      </c>
    </row>
    <row r="308">
      <c r="I308">
        <f>F308+G308</f>
        <v/>
      </c>
      <c r="J308">
        <f>C308-I308</f>
        <v/>
      </c>
    </row>
    <row r="309">
      <c r="I309">
        <f>F309+G309</f>
        <v/>
      </c>
      <c r="J309">
        <f>C309-I309</f>
        <v/>
      </c>
    </row>
    <row r="310">
      <c r="I310">
        <f>F310+G310</f>
        <v/>
      </c>
      <c r="J310">
        <f>C310-I310</f>
        <v/>
      </c>
    </row>
    <row r="311">
      <c r="I311">
        <f>F311+G311</f>
        <v/>
      </c>
      <c r="J311">
        <f>C311-I311</f>
        <v/>
      </c>
    </row>
    <row r="312">
      <c r="I312">
        <f>F312+G312</f>
        <v/>
      </c>
      <c r="J312">
        <f>C312-I312</f>
        <v/>
      </c>
    </row>
    <row r="313">
      <c r="I313">
        <f>F313+G313</f>
        <v/>
      </c>
      <c r="J313">
        <f>C313-I313</f>
        <v/>
      </c>
    </row>
    <row r="314">
      <c r="I314">
        <f>F314+G314</f>
        <v/>
      </c>
      <c r="J314">
        <f>C314-I314</f>
        <v/>
      </c>
    </row>
    <row r="315">
      <c r="I315">
        <f>F315+G315</f>
        <v/>
      </c>
      <c r="J315">
        <f>C315-I315</f>
        <v/>
      </c>
    </row>
    <row r="316">
      <c r="I316">
        <f>F316+G316</f>
        <v/>
      </c>
      <c r="J316">
        <f>C316-I316</f>
        <v/>
      </c>
    </row>
    <row r="317">
      <c r="I317">
        <f>F317+G317</f>
        <v/>
      </c>
      <c r="J317">
        <f>C317-I317</f>
        <v/>
      </c>
    </row>
    <row r="318">
      <c r="I318">
        <f>F318+G318</f>
        <v/>
      </c>
      <c r="J318">
        <f>C318-I318</f>
        <v/>
      </c>
    </row>
    <row r="319">
      <c r="I319">
        <f>F319+G319</f>
        <v/>
      </c>
      <c r="J319">
        <f>C319-I319</f>
        <v/>
      </c>
    </row>
    <row r="320">
      <c r="I320">
        <f>F320+G320</f>
        <v/>
      </c>
      <c r="J320">
        <f>C320-I320</f>
        <v/>
      </c>
    </row>
    <row r="321">
      <c r="I321">
        <f>F321+G321</f>
        <v/>
      </c>
      <c r="J321">
        <f>C321-I321</f>
        <v/>
      </c>
    </row>
    <row r="322">
      <c r="I322">
        <f>F322+G322</f>
        <v/>
      </c>
      <c r="J322">
        <f>C322-I322</f>
        <v/>
      </c>
    </row>
    <row r="323">
      <c r="I323">
        <f>F323+G323</f>
        <v/>
      </c>
      <c r="J323">
        <f>C323-I323</f>
        <v/>
      </c>
    </row>
    <row r="324">
      <c r="I324">
        <f>F324+G324</f>
        <v/>
      </c>
      <c r="J324">
        <f>C324-I324</f>
        <v/>
      </c>
    </row>
    <row r="325">
      <c r="I325">
        <f>F325+G325</f>
        <v/>
      </c>
      <c r="J325">
        <f>C325-I325</f>
        <v/>
      </c>
    </row>
    <row r="326">
      <c r="I326">
        <f>F326+G326</f>
        <v/>
      </c>
      <c r="J326">
        <f>C326-I326</f>
        <v/>
      </c>
    </row>
    <row r="327">
      <c r="I327">
        <f>F327+G327</f>
        <v/>
      </c>
      <c r="J327">
        <f>C327-I327</f>
        <v/>
      </c>
    </row>
    <row r="328">
      <c r="I328">
        <f>F328+G328</f>
        <v/>
      </c>
      <c r="J328">
        <f>C328-I328</f>
        <v/>
      </c>
    </row>
    <row r="329">
      <c r="I329">
        <f>F329+G329</f>
        <v/>
      </c>
      <c r="J329">
        <f>C329-I329</f>
        <v/>
      </c>
    </row>
    <row r="330">
      <c r="I330">
        <f>F330+G330</f>
        <v/>
      </c>
      <c r="J330">
        <f>C330-I330</f>
        <v/>
      </c>
    </row>
    <row r="331">
      <c r="I331">
        <f>F331+G331</f>
        <v/>
      </c>
      <c r="J331">
        <f>C331-I331</f>
        <v/>
      </c>
    </row>
    <row r="332">
      <c r="I332">
        <f>F332+G332</f>
        <v/>
      </c>
      <c r="J332">
        <f>C332-I332</f>
        <v/>
      </c>
    </row>
    <row r="333">
      <c r="I333">
        <f>F333+G333</f>
        <v/>
      </c>
      <c r="J333">
        <f>C333-I333</f>
        <v/>
      </c>
    </row>
    <row r="334">
      <c r="I334">
        <f>F334+G334</f>
        <v/>
      </c>
      <c r="J334">
        <f>C334-I334</f>
        <v/>
      </c>
    </row>
    <row r="335">
      <c r="I335">
        <f>F335+G335</f>
        <v/>
      </c>
      <c r="J335">
        <f>C335-I335</f>
        <v/>
      </c>
    </row>
    <row r="336">
      <c r="I336">
        <f>F336+G336</f>
        <v/>
      </c>
      <c r="J336">
        <f>C336-I336</f>
        <v/>
      </c>
    </row>
    <row r="337">
      <c r="I337">
        <f>F337+G337</f>
        <v/>
      </c>
      <c r="J337">
        <f>C337-I337</f>
        <v/>
      </c>
    </row>
    <row r="338">
      <c r="I338">
        <f>F338+G338</f>
        <v/>
      </c>
      <c r="J338">
        <f>C338-I338</f>
        <v/>
      </c>
    </row>
    <row r="339">
      <c r="I339">
        <f>F339+G339</f>
        <v/>
      </c>
      <c r="J339">
        <f>C339-I339</f>
        <v/>
      </c>
    </row>
    <row r="340">
      <c r="I340">
        <f>F340+G340</f>
        <v/>
      </c>
      <c r="J340">
        <f>C340-I340</f>
        <v/>
      </c>
    </row>
    <row r="341">
      <c r="I341">
        <f>F341+G341</f>
        <v/>
      </c>
      <c r="J341">
        <f>C341-I341</f>
        <v/>
      </c>
    </row>
    <row r="342">
      <c r="I342">
        <f>F342+G342</f>
        <v/>
      </c>
      <c r="J342">
        <f>C342-I342</f>
        <v/>
      </c>
    </row>
    <row r="343">
      <c r="I343">
        <f>F343+G343</f>
        <v/>
      </c>
      <c r="J343">
        <f>C343-I343</f>
        <v/>
      </c>
    </row>
    <row r="344">
      <c r="I344">
        <f>F344+G344</f>
        <v/>
      </c>
      <c r="J344">
        <f>C344-I344</f>
        <v/>
      </c>
    </row>
    <row r="345">
      <c r="I345">
        <f>F345+G345</f>
        <v/>
      </c>
      <c r="J345">
        <f>C345-I345</f>
        <v/>
      </c>
    </row>
    <row r="346">
      <c r="I346">
        <f>F346+G346</f>
        <v/>
      </c>
      <c r="J346">
        <f>C346-I346</f>
        <v/>
      </c>
    </row>
    <row r="347">
      <c r="I347">
        <f>F347+G347</f>
        <v/>
      </c>
      <c r="J347">
        <f>C347-I347</f>
        <v/>
      </c>
    </row>
    <row r="348">
      <c r="I348">
        <f>F348+G348</f>
        <v/>
      </c>
      <c r="J348">
        <f>C348-I348</f>
        <v/>
      </c>
    </row>
    <row r="349">
      <c r="I349">
        <f>F349+G349</f>
        <v/>
      </c>
      <c r="J349">
        <f>C349-I349</f>
        <v/>
      </c>
    </row>
    <row r="350">
      <c r="I350">
        <f>F350+G350</f>
        <v/>
      </c>
      <c r="J350">
        <f>C350-I350</f>
        <v/>
      </c>
    </row>
    <row r="351">
      <c r="I351">
        <f>F351+G351</f>
        <v/>
      </c>
      <c r="J351">
        <f>C351-I351</f>
        <v/>
      </c>
    </row>
    <row r="352">
      <c r="I352">
        <f>F352+G352</f>
        <v/>
      </c>
      <c r="J352">
        <f>C352-I352</f>
        <v/>
      </c>
    </row>
    <row r="353">
      <c r="I353">
        <f>F353+G353</f>
        <v/>
      </c>
      <c r="J353">
        <f>C353-I353</f>
        <v/>
      </c>
    </row>
    <row r="354">
      <c r="I354">
        <f>F354+G354</f>
        <v/>
      </c>
      <c r="J354">
        <f>C354-I354</f>
        <v/>
      </c>
    </row>
    <row r="355">
      <c r="I355">
        <f>F355+G355</f>
        <v/>
      </c>
      <c r="J355">
        <f>C355-I355</f>
        <v/>
      </c>
    </row>
    <row r="356">
      <c r="I356">
        <f>F356+G356</f>
        <v/>
      </c>
      <c r="J356">
        <f>C356-I356</f>
        <v/>
      </c>
    </row>
    <row r="357">
      <c r="I357">
        <f>F357+G357</f>
        <v/>
      </c>
      <c r="J357">
        <f>C357-I357</f>
        <v/>
      </c>
    </row>
    <row r="358">
      <c r="I358">
        <f>F358+G358</f>
        <v/>
      </c>
      <c r="J358">
        <f>C358-I358</f>
        <v/>
      </c>
    </row>
    <row r="359">
      <c r="I359">
        <f>F359+G359</f>
        <v/>
      </c>
      <c r="J359">
        <f>C359-I359</f>
        <v/>
      </c>
    </row>
    <row r="360">
      <c r="I360">
        <f>F360+G360</f>
        <v/>
      </c>
      <c r="J360">
        <f>C360-I360</f>
        <v/>
      </c>
    </row>
    <row r="361">
      <c r="I361">
        <f>F361+G361</f>
        <v/>
      </c>
      <c r="J361">
        <f>C361-I361</f>
        <v/>
      </c>
    </row>
    <row r="362">
      <c r="I362">
        <f>F362+G362</f>
        <v/>
      </c>
      <c r="J362">
        <f>C362-I362</f>
        <v/>
      </c>
    </row>
    <row r="363">
      <c r="I363">
        <f>F363+G363</f>
        <v/>
      </c>
      <c r="J363">
        <f>C363-I363</f>
        <v/>
      </c>
    </row>
    <row r="364">
      <c r="I364">
        <f>F364+G364</f>
        <v/>
      </c>
      <c r="J364">
        <f>C364-I364</f>
        <v/>
      </c>
    </row>
    <row r="365">
      <c r="I365">
        <f>F365+G365</f>
        <v/>
      </c>
      <c r="J365">
        <f>C365-I365</f>
        <v/>
      </c>
    </row>
    <row r="366">
      <c r="I366">
        <f>F366+G366</f>
        <v/>
      </c>
      <c r="J366">
        <f>C366-I366</f>
        <v/>
      </c>
    </row>
    <row r="367">
      <c r="I367">
        <f>F367+G367</f>
        <v/>
      </c>
      <c r="J367">
        <f>C367-I367</f>
        <v/>
      </c>
    </row>
    <row r="368">
      <c r="I368">
        <f>F368+G368</f>
        <v/>
      </c>
      <c r="J368">
        <f>C368-I368</f>
        <v/>
      </c>
    </row>
    <row r="369">
      <c r="I369">
        <f>F369+G369</f>
        <v/>
      </c>
      <c r="J369">
        <f>C369-I369</f>
        <v/>
      </c>
    </row>
    <row r="370">
      <c r="I370">
        <f>F370+G370</f>
        <v/>
      </c>
      <c r="J370">
        <f>C370-I370</f>
        <v/>
      </c>
    </row>
    <row r="371">
      <c r="I371">
        <f>F371+G371</f>
        <v/>
      </c>
      <c r="J371">
        <f>C371-I371</f>
        <v/>
      </c>
    </row>
    <row r="372">
      <c r="I372">
        <f>F372+G372</f>
        <v/>
      </c>
      <c r="J372">
        <f>C372-I372</f>
        <v/>
      </c>
    </row>
    <row r="373">
      <c r="I373">
        <f>F373+G373</f>
        <v/>
      </c>
      <c r="J373">
        <f>C373-I373</f>
        <v/>
      </c>
    </row>
    <row r="374">
      <c r="I374">
        <f>F374+G374</f>
        <v/>
      </c>
      <c r="J374">
        <f>C374-I374</f>
        <v/>
      </c>
    </row>
    <row r="375">
      <c r="I375">
        <f>F375+G375</f>
        <v/>
      </c>
      <c r="J375">
        <f>C375-I375</f>
        <v/>
      </c>
    </row>
    <row r="376">
      <c r="I376">
        <f>F376+G376</f>
        <v/>
      </c>
      <c r="J376">
        <f>C376-I376</f>
        <v/>
      </c>
    </row>
    <row r="377">
      <c r="I377">
        <f>F377+G377</f>
        <v/>
      </c>
      <c r="J377">
        <f>C377-I377</f>
        <v/>
      </c>
    </row>
    <row r="378">
      <c r="I378">
        <f>F378+G378</f>
        <v/>
      </c>
      <c r="J378">
        <f>C378-I378</f>
        <v/>
      </c>
    </row>
    <row r="379">
      <c r="I379">
        <f>F379+G379</f>
        <v/>
      </c>
      <c r="J379">
        <f>C379-I379</f>
        <v/>
      </c>
    </row>
    <row r="380">
      <c r="I380">
        <f>F380+G380</f>
        <v/>
      </c>
      <c r="J380">
        <f>C380-I380</f>
        <v/>
      </c>
    </row>
    <row r="381">
      <c r="I381">
        <f>F381+G381</f>
        <v/>
      </c>
      <c r="J381">
        <f>C381-I381</f>
        <v/>
      </c>
    </row>
    <row r="382">
      <c r="I382">
        <f>F382+G382</f>
        <v/>
      </c>
      <c r="J382">
        <f>C382-I382</f>
        <v/>
      </c>
    </row>
    <row r="383">
      <c r="I383">
        <f>F383+G383</f>
        <v/>
      </c>
      <c r="J383">
        <f>C383-I383</f>
        <v/>
      </c>
    </row>
    <row r="384">
      <c r="I384">
        <f>F384+G384</f>
        <v/>
      </c>
      <c r="J384">
        <f>C384-I384</f>
        <v/>
      </c>
    </row>
    <row r="385">
      <c r="I385">
        <f>F385+G385</f>
        <v/>
      </c>
      <c r="J385">
        <f>C385-I385</f>
        <v/>
      </c>
    </row>
    <row r="386">
      <c r="I386">
        <f>F386+G386</f>
        <v/>
      </c>
      <c r="J386">
        <f>C386-I386</f>
        <v/>
      </c>
    </row>
    <row r="387">
      <c r="I387">
        <f>F387+G387</f>
        <v/>
      </c>
      <c r="J387">
        <f>C387-I387</f>
        <v/>
      </c>
    </row>
    <row r="388">
      <c r="I388">
        <f>F388+G388</f>
        <v/>
      </c>
      <c r="J388">
        <f>C388-I388</f>
        <v/>
      </c>
    </row>
    <row r="389">
      <c r="I389">
        <f>F389+G389</f>
        <v/>
      </c>
      <c r="J389">
        <f>C389-I389</f>
        <v/>
      </c>
    </row>
    <row r="390">
      <c r="I390">
        <f>F390+G390</f>
        <v/>
      </c>
      <c r="J390">
        <f>C390-I390</f>
        <v/>
      </c>
    </row>
    <row r="391">
      <c r="I391">
        <f>F391+G391</f>
        <v/>
      </c>
      <c r="J391">
        <f>C391-I391</f>
        <v/>
      </c>
    </row>
    <row r="392">
      <c r="I392">
        <f>F392+G392</f>
        <v/>
      </c>
      <c r="J392">
        <f>C392-I392</f>
        <v/>
      </c>
    </row>
    <row r="393">
      <c r="I393">
        <f>F393+G393</f>
        <v/>
      </c>
      <c r="J393">
        <f>C393-I393</f>
        <v/>
      </c>
    </row>
    <row r="394">
      <c r="I394">
        <f>F394+G394</f>
        <v/>
      </c>
      <c r="J394">
        <f>C394-I394</f>
        <v/>
      </c>
    </row>
    <row r="395">
      <c r="I395">
        <f>F395+G395</f>
        <v/>
      </c>
      <c r="J395">
        <f>C395-I395</f>
        <v/>
      </c>
    </row>
    <row r="396">
      <c r="I396">
        <f>F396+G396</f>
        <v/>
      </c>
      <c r="J396">
        <f>C396-I396</f>
        <v/>
      </c>
    </row>
    <row r="397">
      <c r="I397">
        <f>F397+G397</f>
        <v/>
      </c>
      <c r="J397">
        <f>C397-I397</f>
        <v/>
      </c>
    </row>
    <row r="398">
      <c r="I398">
        <f>F398+G398</f>
        <v/>
      </c>
      <c r="J398">
        <f>C398-I398</f>
        <v/>
      </c>
    </row>
    <row r="399">
      <c r="I399">
        <f>F399+G399</f>
        <v/>
      </c>
      <c r="J399">
        <f>C399-I399</f>
        <v/>
      </c>
    </row>
    <row r="400">
      <c r="I400">
        <f>F400+G400</f>
        <v/>
      </c>
      <c r="J400">
        <f>C400-I400</f>
        <v/>
      </c>
    </row>
    <row r="401">
      <c r="I401">
        <f>F401+G401</f>
        <v/>
      </c>
      <c r="J401">
        <f>C401-I401</f>
        <v/>
      </c>
    </row>
    <row r="402">
      <c r="I402">
        <f>F402+G402</f>
        <v/>
      </c>
      <c r="J402">
        <f>C402-I402</f>
        <v/>
      </c>
    </row>
    <row r="403">
      <c r="I403">
        <f>F403+G403</f>
        <v/>
      </c>
      <c r="J403">
        <f>C403-I403</f>
        <v/>
      </c>
    </row>
    <row r="404">
      <c r="I404">
        <f>F404+G404</f>
        <v/>
      </c>
      <c r="J404">
        <f>C404-I404</f>
        <v/>
      </c>
    </row>
    <row r="405">
      <c r="I405">
        <f>F405+G405</f>
        <v/>
      </c>
      <c r="J405">
        <f>C405-I405</f>
        <v/>
      </c>
    </row>
    <row r="406">
      <c r="I406">
        <f>F406+G406</f>
        <v/>
      </c>
      <c r="J406">
        <f>C406-I406</f>
        <v/>
      </c>
    </row>
    <row r="407">
      <c r="I407">
        <f>F407+G407</f>
        <v/>
      </c>
      <c r="J407">
        <f>C407-I407</f>
        <v/>
      </c>
    </row>
    <row r="408">
      <c r="I408">
        <f>F408+G408</f>
        <v/>
      </c>
      <c r="J408">
        <f>C408-I408</f>
        <v/>
      </c>
    </row>
    <row r="409">
      <c r="I409">
        <f>F409+G409</f>
        <v/>
      </c>
      <c r="J409">
        <f>C409-I409</f>
        <v/>
      </c>
    </row>
    <row r="410">
      <c r="I410">
        <f>F410+G410</f>
        <v/>
      </c>
      <c r="J410">
        <f>C410-I410</f>
        <v/>
      </c>
    </row>
    <row r="411">
      <c r="I411">
        <f>F411+G411</f>
        <v/>
      </c>
      <c r="J411">
        <f>C411-I411</f>
        <v/>
      </c>
    </row>
    <row r="412">
      <c r="I412">
        <f>F412+G412</f>
        <v/>
      </c>
      <c r="J412">
        <f>C412-I412</f>
        <v/>
      </c>
    </row>
    <row r="413">
      <c r="I413">
        <f>F413+G413</f>
        <v/>
      </c>
      <c r="J413">
        <f>C413-I413</f>
        <v/>
      </c>
    </row>
    <row r="414">
      <c r="I414">
        <f>F414+G414</f>
        <v/>
      </c>
      <c r="J414">
        <f>C414-I414</f>
        <v/>
      </c>
    </row>
    <row r="415">
      <c r="I415">
        <f>F415+G415</f>
        <v/>
      </c>
      <c r="J415">
        <f>C415-I415</f>
        <v/>
      </c>
    </row>
    <row r="416">
      <c r="I416">
        <f>F416+G416</f>
        <v/>
      </c>
      <c r="J416">
        <f>C416-I416</f>
        <v/>
      </c>
    </row>
    <row r="417">
      <c r="I417">
        <f>F417+G417</f>
        <v/>
      </c>
      <c r="J417">
        <f>C417-I417</f>
        <v/>
      </c>
    </row>
    <row r="418">
      <c r="I418">
        <f>F418+G418</f>
        <v/>
      </c>
      <c r="J418">
        <f>C418-I418</f>
        <v/>
      </c>
    </row>
    <row r="419">
      <c r="I419">
        <f>F419+G419</f>
        <v/>
      </c>
      <c r="J419">
        <f>C419-I419</f>
        <v/>
      </c>
    </row>
    <row r="420">
      <c r="I420">
        <f>F420+G420</f>
        <v/>
      </c>
      <c r="J420">
        <f>C420-I420</f>
        <v/>
      </c>
    </row>
    <row r="421">
      <c r="I421">
        <f>F421+G421</f>
        <v/>
      </c>
      <c r="J421">
        <f>C421-I421</f>
        <v/>
      </c>
    </row>
    <row r="422">
      <c r="I422">
        <f>F422+G422</f>
        <v/>
      </c>
      <c r="J422">
        <f>C422-I422</f>
        <v/>
      </c>
    </row>
    <row r="423">
      <c r="I423">
        <f>F423+G423</f>
        <v/>
      </c>
      <c r="J423">
        <f>C423-I423</f>
        <v/>
      </c>
    </row>
    <row r="424">
      <c r="I424">
        <f>F424+G424</f>
        <v/>
      </c>
      <c r="J424">
        <f>C424-I424</f>
        <v/>
      </c>
    </row>
    <row r="425">
      <c r="I425">
        <f>F425+G425</f>
        <v/>
      </c>
      <c r="J425">
        <f>C425-I425</f>
        <v/>
      </c>
    </row>
    <row r="426">
      <c r="I426">
        <f>F426+G426</f>
        <v/>
      </c>
      <c r="J426">
        <f>C426-I426</f>
        <v/>
      </c>
    </row>
    <row r="427">
      <c r="I427">
        <f>F427+G427</f>
        <v/>
      </c>
      <c r="J427">
        <f>C427-I427</f>
        <v/>
      </c>
    </row>
    <row r="428">
      <c r="I428">
        <f>F428+G428</f>
        <v/>
      </c>
      <c r="J428">
        <f>C428-I428</f>
        <v/>
      </c>
    </row>
    <row r="429">
      <c r="I429">
        <f>F429+G429</f>
        <v/>
      </c>
      <c r="J429">
        <f>C429-I429</f>
        <v/>
      </c>
    </row>
    <row r="430">
      <c r="I430">
        <f>F430+G430</f>
        <v/>
      </c>
      <c r="J430">
        <f>C430-I430</f>
        <v/>
      </c>
    </row>
    <row r="431">
      <c r="I431">
        <f>F431+G431</f>
        <v/>
      </c>
      <c r="J431">
        <f>C431-I431</f>
        <v/>
      </c>
    </row>
    <row r="432">
      <c r="I432">
        <f>F432+G432</f>
        <v/>
      </c>
      <c r="J432">
        <f>C432-I432</f>
        <v/>
      </c>
    </row>
    <row r="433">
      <c r="I433">
        <f>F433+G433</f>
        <v/>
      </c>
      <c r="J433">
        <f>C433-I433</f>
        <v/>
      </c>
    </row>
    <row r="434">
      <c r="I434">
        <f>F434+G434</f>
        <v/>
      </c>
      <c r="J434">
        <f>C434-I434</f>
        <v/>
      </c>
    </row>
    <row r="435">
      <c r="I435">
        <f>F435+G435</f>
        <v/>
      </c>
      <c r="J435">
        <f>C435-I435</f>
        <v/>
      </c>
    </row>
    <row r="436">
      <c r="I436">
        <f>F436+G436</f>
        <v/>
      </c>
      <c r="J436">
        <f>C436-I436</f>
        <v/>
      </c>
    </row>
    <row r="437">
      <c r="I437">
        <f>F437+G437</f>
        <v/>
      </c>
      <c r="J437">
        <f>C437-I437</f>
        <v/>
      </c>
    </row>
    <row r="438">
      <c r="I438">
        <f>F438+G438</f>
        <v/>
      </c>
      <c r="J438">
        <f>C438-I438</f>
        <v/>
      </c>
    </row>
    <row r="439">
      <c r="I439">
        <f>F439+G439</f>
        <v/>
      </c>
      <c r="J439">
        <f>C439-I439</f>
        <v/>
      </c>
    </row>
    <row r="440">
      <c r="I440">
        <f>F440+G440</f>
        <v/>
      </c>
      <c r="J440">
        <f>C440-I440</f>
        <v/>
      </c>
    </row>
    <row r="441">
      <c r="I441">
        <f>F441+G441</f>
        <v/>
      </c>
      <c r="J441">
        <f>C441-I441</f>
        <v/>
      </c>
    </row>
    <row r="442">
      <c r="I442">
        <f>F442+G442</f>
        <v/>
      </c>
      <c r="J442">
        <f>C442-I442</f>
        <v/>
      </c>
    </row>
    <row r="443">
      <c r="I443">
        <f>F443+G443</f>
        <v/>
      </c>
      <c r="J443">
        <f>C443-I443</f>
        <v/>
      </c>
    </row>
    <row r="444">
      <c r="I444">
        <f>F444+G444</f>
        <v/>
      </c>
      <c r="J444">
        <f>C444-I444</f>
        <v/>
      </c>
    </row>
    <row r="445">
      <c r="I445">
        <f>F445+G445</f>
        <v/>
      </c>
      <c r="J445">
        <f>C445-I445</f>
        <v/>
      </c>
    </row>
    <row r="446">
      <c r="I446">
        <f>F446+G446</f>
        <v/>
      </c>
      <c r="J446">
        <f>C446-I446</f>
        <v/>
      </c>
    </row>
    <row r="447">
      <c r="I447">
        <f>F447+G447</f>
        <v/>
      </c>
      <c r="J447">
        <f>C447-I447</f>
        <v/>
      </c>
    </row>
    <row r="448">
      <c r="I448">
        <f>F448+G448</f>
        <v/>
      </c>
      <c r="J448">
        <f>C448-I448</f>
        <v/>
      </c>
    </row>
    <row r="449">
      <c r="I449">
        <f>F449+G449</f>
        <v/>
      </c>
      <c r="J449">
        <f>C449-I449</f>
        <v/>
      </c>
    </row>
    <row r="450">
      <c r="I450">
        <f>F450+G450</f>
        <v/>
      </c>
      <c r="J450">
        <f>C450-I450</f>
        <v/>
      </c>
    </row>
    <row r="451">
      <c r="I451">
        <f>F451+G451</f>
        <v/>
      </c>
      <c r="J451">
        <f>C451-I451</f>
        <v/>
      </c>
    </row>
    <row r="452">
      <c r="I452">
        <f>F452+G452</f>
        <v/>
      </c>
      <c r="J452">
        <f>C452-I452</f>
        <v/>
      </c>
    </row>
    <row r="453">
      <c r="I453">
        <f>F453+G453</f>
        <v/>
      </c>
      <c r="J453">
        <f>C453-I453</f>
        <v/>
      </c>
    </row>
    <row r="454">
      <c r="I454">
        <f>F454+G454</f>
        <v/>
      </c>
      <c r="J454">
        <f>C454-I454</f>
        <v/>
      </c>
    </row>
    <row r="455">
      <c r="I455">
        <f>F455+G455</f>
        <v/>
      </c>
      <c r="J455">
        <f>C455-I455</f>
        <v/>
      </c>
    </row>
    <row r="456">
      <c r="I456">
        <f>F456+G456</f>
        <v/>
      </c>
      <c r="J456">
        <f>C456-I456</f>
        <v/>
      </c>
    </row>
    <row r="457">
      <c r="I457">
        <f>F457+G457</f>
        <v/>
      </c>
      <c r="J457">
        <f>C457-I457</f>
        <v/>
      </c>
    </row>
    <row r="458">
      <c r="I458">
        <f>F458+G458</f>
        <v/>
      </c>
      <c r="J458">
        <f>C458-I458</f>
        <v/>
      </c>
    </row>
    <row r="459">
      <c r="I459">
        <f>F459+G459</f>
        <v/>
      </c>
      <c r="J459">
        <f>C459-I459</f>
        <v/>
      </c>
    </row>
    <row r="460">
      <c r="I460">
        <f>F460+G460</f>
        <v/>
      </c>
      <c r="J460">
        <f>C460-I460</f>
        <v/>
      </c>
    </row>
    <row r="461">
      <c r="I461">
        <f>F461+G461</f>
        <v/>
      </c>
      <c r="J461">
        <f>C461-I461</f>
        <v/>
      </c>
    </row>
    <row r="462">
      <c r="I462">
        <f>F462+G462</f>
        <v/>
      </c>
      <c r="J462">
        <f>C462-I462</f>
        <v/>
      </c>
    </row>
    <row r="463">
      <c r="I463">
        <f>F463+G463</f>
        <v/>
      </c>
      <c r="J463">
        <f>C463-I463</f>
        <v/>
      </c>
    </row>
    <row r="464">
      <c r="I464">
        <f>F464+G464</f>
        <v/>
      </c>
      <c r="J464">
        <f>C464-I464</f>
        <v/>
      </c>
    </row>
    <row r="465">
      <c r="I465">
        <f>F465+G465</f>
        <v/>
      </c>
      <c r="J465">
        <f>C465-I465</f>
        <v/>
      </c>
    </row>
    <row r="466">
      <c r="I466">
        <f>F466+G466</f>
        <v/>
      </c>
      <c r="J466">
        <f>C466-I466</f>
        <v/>
      </c>
    </row>
    <row r="467">
      <c r="I467">
        <f>F467+G467</f>
        <v/>
      </c>
      <c r="J467">
        <f>C467-I467</f>
        <v/>
      </c>
    </row>
    <row r="468">
      <c r="I468">
        <f>F468+G468</f>
        <v/>
      </c>
      <c r="J468">
        <f>C468-I468</f>
        <v/>
      </c>
    </row>
    <row r="469">
      <c r="I469">
        <f>F469+G469</f>
        <v/>
      </c>
      <c r="J469">
        <f>C469-I469</f>
        <v/>
      </c>
    </row>
    <row r="470">
      <c r="I470">
        <f>F470+G470</f>
        <v/>
      </c>
      <c r="J470">
        <f>C470-I470</f>
        <v/>
      </c>
    </row>
    <row r="471">
      <c r="I471">
        <f>F471+G471</f>
        <v/>
      </c>
      <c r="J471">
        <f>C471-I471</f>
        <v/>
      </c>
    </row>
    <row r="472">
      <c r="I472">
        <f>F472+G472</f>
        <v/>
      </c>
      <c r="J472">
        <f>C472-I472</f>
        <v/>
      </c>
    </row>
    <row r="473">
      <c r="I473">
        <f>F473+G473</f>
        <v/>
      </c>
      <c r="J473">
        <f>C473-I473</f>
        <v/>
      </c>
    </row>
    <row r="474">
      <c r="I474">
        <f>F474+G474</f>
        <v/>
      </c>
      <c r="J474">
        <f>C474-I474</f>
        <v/>
      </c>
    </row>
    <row r="475">
      <c r="I475">
        <f>F475+G475</f>
        <v/>
      </c>
      <c r="J475">
        <f>C475-I475</f>
        <v/>
      </c>
    </row>
    <row r="476">
      <c r="I476">
        <f>F476+G476</f>
        <v/>
      </c>
      <c r="J476">
        <f>C476-I476</f>
        <v/>
      </c>
    </row>
    <row r="477">
      <c r="I477">
        <f>F477+G477</f>
        <v/>
      </c>
      <c r="J477">
        <f>C477-I477</f>
        <v/>
      </c>
    </row>
    <row r="478">
      <c r="I478">
        <f>F478+G478</f>
        <v/>
      </c>
      <c r="J478">
        <f>C478-I478</f>
        <v/>
      </c>
    </row>
    <row r="479">
      <c r="I479">
        <f>F479+G479</f>
        <v/>
      </c>
      <c r="J479">
        <f>C479-I479</f>
        <v/>
      </c>
    </row>
    <row r="480">
      <c r="I480">
        <f>F480+G480</f>
        <v/>
      </c>
      <c r="J480">
        <f>C480-I480</f>
        <v/>
      </c>
    </row>
    <row r="481">
      <c r="I481">
        <f>F481+G481</f>
        <v/>
      </c>
      <c r="J481">
        <f>C481-I481</f>
        <v/>
      </c>
    </row>
    <row r="482">
      <c r="I482">
        <f>F482+G482</f>
        <v/>
      </c>
      <c r="J482">
        <f>C482-I482</f>
        <v/>
      </c>
    </row>
    <row r="483">
      <c r="I483">
        <f>F483+G483</f>
        <v/>
      </c>
      <c r="J483">
        <f>C483-I483</f>
        <v/>
      </c>
    </row>
    <row r="484">
      <c r="I484">
        <f>F484+G484</f>
        <v/>
      </c>
      <c r="J484">
        <f>C484-I484</f>
        <v/>
      </c>
    </row>
    <row r="485">
      <c r="I485">
        <f>F485+G485</f>
        <v/>
      </c>
      <c r="J485">
        <f>C485-I485</f>
        <v/>
      </c>
    </row>
    <row r="486">
      <c r="I486">
        <f>F486+G486</f>
        <v/>
      </c>
      <c r="J486">
        <f>C486-I486</f>
        <v/>
      </c>
    </row>
    <row r="487">
      <c r="I487">
        <f>F487+G487</f>
        <v/>
      </c>
      <c r="J487">
        <f>C487-I487</f>
        <v/>
      </c>
    </row>
    <row r="488">
      <c r="I488">
        <f>F488+G488</f>
        <v/>
      </c>
      <c r="J488">
        <f>C488-I488</f>
        <v/>
      </c>
    </row>
    <row r="489">
      <c r="I489">
        <f>F489+G489</f>
        <v/>
      </c>
      <c r="J489">
        <f>C489-I489</f>
        <v/>
      </c>
    </row>
    <row r="490">
      <c r="I490">
        <f>F490+G490</f>
        <v/>
      </c>
      <c r="J490">
        <f>C490-I490</f>
        <v/>
      </c>
    </row>
    <row r="491">
      <c r="I491">
        <f>F491+G491</f>
        <v/>
      </c>
      <c r="J491">
        <f>C491-I491</f>
        <v/>
      </c>
    </row>
    <row r="492">
      <c r="I492">
        <f>F492+G492</f>
        <v/>
      </c>
      <c r="J492">
        <f>C492-I492</f>
        <v/>
      </c>
    </row>
    <row r="493">
      <c r="I493">
        <f>F493+G493</f>
        <v/>
      </c>
      <c r="J493">
        <f>C493-I493</f>
        <v/>
      </c>
    </row>
    <row r="494">
      <c r="I494">
        <f>F494+G494</f>
        <v/>
      </c>
      <c r="J494">
        <f>C494-I494</f>
        <v/>
      </c>
    </row>
    <row r="495">
      <c r="I495">
        <f>F495+G495</f>
        <v/>
      </c>
      <c r="J495">
        <f>C495-I495</f>
        <v/>
      </c>
    </row>
    <row r="496">
      <c r="I496">
        <f>F496+G496</f>
        <v/>
      </c>
      <c r="J496">
        <f>C496-I496</f>
        <v/>
      </c>
    </row>
    <row r="497">
      <c r="I497">
        <f>F497+G497</f>
        <v/>
      </c>
      <c r="J497">
        <f>C497-I497</f>
        <v/>
      </c>
    </row>
    <row r="498">
      <c r="I498">
        <f>F498+G498</f>
        <v/>
      </c>
      <c r="J498">
        <f>C498-I498</f>
        <v/>
      </c>
    </row>
    <row r="499">
      <c r="I499">
        <f>F499+G499</f>
        <v/>
      </c>
      <c r="J499">
        <f>C499-I499</f>
        <v/>
      </c>
    </row>
    <row r="500">
      <c r="I500">
        <f>F500+G500</f>
        <v/>
      </c>
      <c r="J500">
        <f>C500-I500</f>
        <v/>
      </c>
    </row>
    <row r="501">
      <c r="I501">
        <f>F501+G501</f>
        <v/>
      </c>
      <c r="J501">
        <f>C501-I501</f>
        <v/>
      </c>
    </row>
    <row r="502">
      <c r="I502">
        <f>F502+G502</f>
        <v/>
      </c>
      <c r="J502">
        <f>C502-I502</f>
        <v/>
      </c>
    </row>
    <row r="503">
      <c r="I503">
        <f>F503+G503</f>
        <v/>
      </c>
      <c r="J503">
        <f>C503-I503</f>
        <v/>
      </c>
    </row>
    <row r="504">
      <c r="I504">
        <f>F504+G504</f>
        <v/>
      </c>
      <c r="J504">
        <f>C504-I504</f>
        <v/>
      </c>
    </row>
    <row r="505">
      <c r="I505">
        <f>F505+G505</f>
        <v/>
      </c>
      <c r="J505">
        <f>C505-I505</f>
        <v/>
      </c>
    </row>
    <row r="506">
      <c r="I506">
        <f>F506+G506</f>
        <v/>
      </c>
      <c r="J506">
        <f>C506-I506</f>
        <v/>
      </c>
    </row>
    <row r="507">
      <c r="I507">
        <f>F507+G507</f>
        <v/>
      </c>
      <c r="J507">
        <f>C507-I507</f>
        <v/>
      </c>
    </row>
    <row r="508">
      <c r="I508">
        <f>F508+G508</f>
        <v/>
      </c>
      <c r="J508">
        <f>C508-I508</f>
        <v/>
      </c>
    </row>
    <row r="509">
      <c r="I509">
        <f>F509+G509</f>
        <v/>
      </c>
      <c r="J509">
        <f>C509-I509</f>
        <v/>
      </c>
    </row>
    <row r="510">
      <c r="I510">
        <f>F510+G510</f>
        <v/>
      </c>
      <c r="J510">
        <f>C510-I510</f>
        <v/>
      </c>
    </row>
    <row r="511">
      <c r="I511">
        <f>F511+G511</f>
        <v/>
      </c>
      <c r="J511">
        <f>C511-I511</f>
        <v/>
      </c>
    </row>
    <row r="512">
      <c r="I512">
        <f>F512+G512</f>
        <v/>
      </c>
      <c r="J512">
        <f>C512-I512</f>
        <v/>
      </c>
    </row>
    <row r="513">
      <c r="I513">
        <f>F513+G513</f>
        <v/>
      </c>
      <c r="J513">
        <f>C513-I513</f>
        <v/>
      </c>
    </row>
    <row r="514">
      <c r="I514">
        <f>F514+G514</f>
        <v/>
      </c>
      <c r="J514">
        <f>C514-I514</f>
        <v/>
      </c>
    </row>
    <row r="515">
      <c r="I515">
        <f>F515+G515</f>
        <v/>
      </c>
      <c r="J515">
        <f>C515-I515</f>
        <v/>
      </c>
    </row>
    <row r="516">
      <c r="I516">
        <f>F516+G516</f>
        <v/>
      </c>
      <c r="J516">
        <f>C516-I516</f>
        <v/>
      </c>
    </row>
    <row r="517">
      <c r="I517">
        <f>F517+G517</f>
        <v/>
      </c>
      <c r="J517">
        <f>C517-I517</f>
        <v/>
      </c>
    </row>
    <row r="518">
      <c r="I518">
        <f>F518+G518</f>
        <v/>
      </c>
      <c r="J518">
        <f>C518-I518</f>
        <v/>
      </c>
    </row>
    <row r="519">
      <c r="I519">
        <f>F519+G519</f>
        <v/>
      </c>
      <c r="J519">
        <f>C519-I519</f>
        <v/>
      </c>
    </row>
    <row r="520">
      <c r="I520">
        <f>F520+G520</f>
        <v/>
      </c>
      <c r="J520">
        <f>C520-I520</f>
        <v/>
      </c>
    </row>
    <row r="521">
      <c r="I521">
        <f>F521+G521</f>
        <v/>
      </c>
      <c r="J521">
        <f>C521-I521</f>
        <v/>
      </c>
    </row>
    <row r="522">
      <c r="I522">
        <f>F522+G522</f>
        <v/>
      </c>
      <c r="J522">
        <f>C522-I522</f>
        <v/>
      </c>
    </row>
    <row r="523">
      <c r="I523">
        <f>F523+G523</f>
        <v/>
      </c>
      <c r="J523">
        <f>C523-I523</f>
        <v/>
      </c>
    </row>
    <row r="524">
      <c r="I524">
        <f>F524+G524</f>
        <v/>
      </c>
      <c r="J524">
        <f>C524-I524</f>
        <v/>
      </c>
    </row>
    <row r="525">
      <c r="I525">
        <f>F525+G525</f>
        <v/>
      </c>
      <c r="J525">
        <f>C525-I525</f>
        <v/>
      </c>
    </row>
    <row r="526">
      <c r="I526">
        <f>F526+G526</f>
        <v/>
      </c>
      <c r="J526">
        <f>C526-I526</f>
        <v/>
      </c>
    </row>
    <row r="527">
      <c r="I527">
        <f>F527+G527</f>
        <v/>
      </c>
      <c r="J527">
        <f>C527-I527</f>
        <v/>
      </c>
    </row>
    <row r="528">
      <c r="I528">
        <f>F528+G528</f>
        <v/>
      </c>
      <c r="J528">
        <f>C528-I528</f>
        <v/>
      </c>
    </row>
    <row r="529">
      <c r="I529">
        <f>F529+G529</f>
        <v/>
      </c>
      <c r="J529">
        <f>C529-I529</f>
        <v/>
      </c>
    </row>
    <row r="530">
      <c r="I530">
        <f>F530+G530</f>
        <v/>
      </c>
      <c r="J530">
        <f>C530-I530</f>
        <v/>
      </c>
    </row>
    <row r="531">
      <c r="I531">
        <f>F531+G531</f>
        <v/>
      </c>
      <c r="J531">
        <f>C531-I531</f>
        <v/>
      </c>
    </row>
    <row r="532">
      <c r="I532">
        <f>F532+G532</f>
        <v/>
      </c>
      <c r="J532">
        <f>C532-I532</f>
        <v/>
      </c>
    </row>
    <row r="533">
      <c r="I533">
        <f>F533+G533</f>
        <v/>
      </c>
      <c r="J533">
        <f>C533-I533</f>
        <v/>
      </c>
    </row>
    <row r="534">
      <c r="I534">
        <f>F534+G534</f>
        <v/>
      </c>
      <c r="J534">
        <f>C534-I534</f>
        <v/>
      </c>
    </row>
    <row r="535">
      <c r="I535">
        <f>F535+G535</f>
        <v/>
      </c>
      <c r="J535">
        <f>C535-I535</f>
        <v/>
      </c>
    </row>
    <row r="536">
      <c r="I536">
        <f>F536+G536</f>
        <v/>
      </c>
      <c r="J536">
        <f>C536-I536</f>
        <v/>
      </c>
    </row>
    <row r="537">
      <c r="I537">
        <f>F537+G537</f>
        <v/>
      </c>
      <c r="J537">
        <f>C537-I537</f>
        <v/>
      </c>
    </row>
    <row r="538">
      <c r="I538">
        <f>F538+G538</f>
        <v/>
      </c>
      <c r="J538">
        <f>C538-I538</f>
        <v/>
      </c>
    </row>
    <row r="539">
      <c r="I539">
        <f>F539+G539</f>
        <v/>
      </c>
      <c r="J539">
        <f>C539-I539</f>
        <v/>
      </c>
    </row>
    <row r="540">
      <c r="I540">
        <f>F540+G540</f>
        <v/>
      </c>
      <c r="J540">
        <f>C540-I540</f>
        <v/>
      </c>
    </row>
    <row r="541">
      <c r="I541">
        <f>F541+G541</f>
        <v/>
      </c>
      <c r="J541">
        <f>C541-I541</f>
        <v/>
      </c>
    </row>
    <row r="542">
      <c r="I542">
        <f>F542+G542</f>
        <v/>
      </c>
      <c r="J542">
        <f>C542-I542</f>
        <v/>
      </c>
    </row>
    <row r="543">
      <c r="I543">
        <f>F543+G543</f>
        <v/>
      </c>
      <c r="J543">
        <f>C543-I543</f>
        <v/>
      </c>
    </row>
    <row r="544">
      <c r="I544">
        <f>F544+G544</f>
        <v/>
      </c>
      <c r="J544">
        <f>C544-I544</f>
        <v/>
      </c>
    </row>
    <row r="545">
      <c r="I545">
        <f>F545+G545</f>
        <v/>
      </c>
      <c r="J545">
        <f>C545-I545</f>
        <v/>
      </c>
    </row>
    <row r="546">
      <c r="I546">
        <f>F546+G546</f>
        <v/>
      </c>
      <c r="J546">
        <f>C546-I546</f>
        <v/>
      </c>
    </row>
    <row r="547">
      <c r="I547">
        <f>F547+G547</f>
        <v/>
      </c>
      <c r="J547">
        <f>C547-I547</f>
        <v/>
      </c>
    </row>
    <row r="548">
      <c r="I548">
        <f>F548+G548</f>
        <v/>
      </c>
      <c r="J548">
        <f>C548-I548</f>
        <v/>
      </c>
    </row>
    <row r="549">
      <c r="I549">
        <f>F549+G549</f>
        <v/>
      </c>
      <c r="J549">
        <f>C549-I549</f>
        <v/>
      </c>
    </row>
    <row r="550">
      <c r="I550">
        <f>F550+G550</f>
        <v/>
      </c>
      <c r="J550">
        <f>C550-I550</f>
        <v/>
      </c>
    </row>
    <row r="551">
      <c r="I551">
        <f>F551+G551</f>
        <v/>
      </c>
      <c r="J551">
        <f>C551-I551</f>
        <v/>
      </c>
    </row>
    <row r="552">
      <c r="I552">
        <f>F552+G552</f>
        <v/>
      </c>
      <c r="J552">
        <f>C552-I552</f>
        <v/>
      </c>
    </row>
    <row r="553">
      <c r="I553">
        <f>F553+G553</f>
        <v/>
      </c>
      <c r="J553">
        <f>C553-I553</f>
        <v/>
      </c>
    </row>
    <row r="554">
      <c r="I554">
        <f>F554+G554</f>
        <v/>
      </c>
      <c r="J554">
        <f>C554-I554</f>
        <v/>
      </c>
    </row>
    <row r="555">
      <c r="I555">
        <f>F555+G555</f>
        <v/>
      </c>
      <c r="J555">
        <f>C555-I555</f>
        <v/>
      </c>
    </row>
    <row r="556">
      <c r="I556">
        <f>F556+G556</f>
        <v/>
      </c>
      <c r="J556">
        <f>C556-I556</f>
        <v/>
      </c>
    </row>
    <row r="557">
      <c r="I557">
        <f>F557+G557</f>
        <v/>
      </c>
      <c r="J557">
        <f>C557-I557</f>
        <v/>
      </c>
    </row>
    <row r="558">
      <c r="I558">
        <f>F558+G558</f>
        <v/>
      </c>
      <c r="J558">
        <f>C558-I558</f>
        <v/>
      </c>
    </row>
    <row r="559">
      <c r="I559">
        <f>F559+G559</f>
        <v/>
      </c>
      <c r="J559">
        <f>C559-I559</f>
        <v/>
      </c>
    </row>
    <row r="560">
      <c r="I560">
        <f>F560+G560</f>
        <v/>
      </c>
      <c r="J560">
        <f>C560-I560</f>
        <v/>
      </c>
    </row>
    <row r="561">
      <c r="I561">
        <f>F561+G561</f>
        <v/>
      </c>
      <c r="J561">
        <f>C561-I561</f>
        <v/>
      </c>
    </row>
    <row r="562">
      <c r="I562">
        <f>F562+G562</f>
        <v/>
      </c>
      <c r="J562">
        <f>C562-I562</f>
        <v/>
      </c>
    </row>
    <row r="563">
      <c r="I563">
        <f>F563+G563</f>
        <v/>
      </c>
      <c r="J563">
        <f>C563-I563</f>
        <v/>
      </c>
    </row>
    <row r="564">
      <c r="I564">
        <f>F564+G564</f>
        <v/>
      </c>
      <c r="J564">
        <f>C564-I564</f>
        <v/>
      </c>
    </row>
    <row r="565">
      <c r="I565">
        <f>F565+G565</f>
        <v/>
      </c>
      <c r="J565">
        <f>C565-I565</f>
        <v/>
      </c>
    </row>
    <row r="566">
      <c r="I566">
        <f>F566+G566</f>
        <v/>
      </c>
      <c r="J566">
        <f>C566-I566</f>
        <v/>
      </c>
    </row>
    <row r="567">
      <c r="I567">
        <f>F567+G567</f>
        <v/>
      </c>
      <c r="J567">
        <f>C567-I567</f>
        <v/>
      </c>
    </row>
    <row r="568">
      <c r="I568">
        <f>F568+G568</f>
        <v/>
      </c>
      <c r="J568">
        <f>C568-I568</f>
        <v/>
      </c>
    </row>
    <row r="569">
      <c r="I569">
        <f>F569+G569</f>
        <v/>
      </c>
      <c r="J569">
        <f>C569-I569</f>
        <v/>
      </c>
    </row>
    <row r="570">
      <c r="I570">
        <f>F570+G570</f>
        <v/>
      </c>
      <c r="J570">
        <f>C570-I570</f>
        <v/>
      </c>
    </row>
    <row r="571">
      <c r="I571">
        <f>F571+G571</f>
        <v/>
      </c>
      <c r="J571">
        <f>C571-I571</f>
        <v/>
      </c>
    </row>
    <row r="572">
      <c r="I572">
        <f>F572+G572</f>
        <v/>
      </c>
      <c r="J572">
        <f>C572-I572</f>
        <v/>
      </c>
    </row>
    <row r="573">
      <c r="I573">
        <f>F573+G573</f>
        <v/>
      </c>
      <c r="J573">
        <f>C573-I573</f>
        <v/>
      </c>
    </row>
    <row r="574">
      <c r="I574">
        <f>F574+G574</f>
        <v/>
      </c>
      <c r="J574">
        <f>C574-I574</f>
        <v/>
      </c>
    </row>
    <row r="575">
      <c r="I575">
        <f>F575+G575</f>
        <v/>
      </c>
      <c r="J575">
        <f>C575-I575</f>
        <v/>
      </c>
    </row>
    <row r="576">
      <c r="I576">
        <f>F576+G576</f>
        <v/>
      </c>
      <c r="J576">
        <f>C576-I576</f>
        <v/>
      </c>
    </row>
    <row r="577">
      <c r="I577">
        <f>F577+G577</f>
        <v/>
      </c>
      <c r="J577">
        <f>C577-I577</f>
        <v/>
      </c>
    </row>
    <row r="578">
      <c r="I578">
        <f>F578+G578</f>
        <v/>
      </c>
      <c r="J578">
        <f>C578-I578</f>
        <v/>
      </c>
    </row>
    <row r="579">
      <c r="I579">
        <f>F579+G579</f>
        <v/>
      </c>
      <c r="J579">
        <f>C579-I579</f>
        <v/>
      </c>
    </row>
    <row r="580">
      <c r="I580">
        <f>F580+G580</f>
        <v/>
      </c>
      <c r="J580">
        <f>C580-I580</f>
        <v/>
      </c>
    </row>
    <row r="581">
      <c r="I581">
        <f>F581+G581</f>
        <v/>
      </c>
      <c r="J581">
        <f>C581-I581</f>
        <v/>
      </c>
    </row>
    <row r="582">
      <c r="I582">
        <f>F582+G582</f>
        <v/>
      </c>
      <c r="J582">
        <f>C582-I582</f>
        <v/>
      </c>
    </row>
    <row r="583">
      <c r="I583">
        <f>F583+G583</f>
        <v/>
      </c>
      <c r="J583">
        <f>C583-I583</f>
        <v/>
      </c>
    </row>
    <row r="584">
      <c r="I584">
        <f>F584+G584</f>
        <v/>
      </c>
      <c r="J584">
        <f>C584-I584</f>
        <v/>
      </c>
    </row>
    <row r="585">
      <c r="I585">
        <f>F585+G585</f>
        <v/>
      </c>
      <c r="J585">
        <f>C585-I585</f>
        <v/>
      </c>
    </row>
    <row r="586">
      <c r="I586">
        <f>F586+G586</f>
        <v/>
      </c>
      <c r="J586">
        <f>C586-I586</f>
        <v/>
      </c>
    </row>
    <row r="587">
      <c r="I587">
        <f>F587+G587</f>
        <v/>
      </c>
      <c r="J587">
        <f>C587-I587</f>
        <v/>
      </c>
    </row>
    <row r="588">
      <c r="I588">
        <f>F588+G588</f>
        <v/>
      </c>
      <c r="J588">
        <f>C588-I588</f>
        <v/>
      </c>
    </row>
    <row r="589">
      <c r="I589">
        <f>F589+G589</f>
        <v/>
      </c>
      <c r="J589">
        <f>C589-I589</f>
        <v/>
      </c>
    </row>
    <row r="590">
      <c r="I590">
        <f>F590+G590</f>
        <v/>
      </c>
      <c r="J590">
        <f>C590-I590</f>
        <v/>
      </c>
    </row>
    <row r="591">
      <c r="I591">
        <f>F591+G591</f>
        <v/>
      </c>
      <c r="J591">
        <f>C591-I591</f>
        <v/>
      </c>
    </row>
    <row r="592">
      <c r="I592">
        <f>F592+G592</f>
        <v/>
      </c>
      <c r="J592">
        <f>C592-I592</f>
        <v/>
      </c>
    </row>
    <row r="593">
      <c r="I593">
        <f>F593+G593</f>
        <v/>
      </c>
      <c r="J593">
        <f>C593-I593</f>
        <v/>
      </c>
    </row>
    <row r="594">
      <c r="I594">
        <f>F594+G594</f>
        <v/>
      </c>
      <c r="J594">
        <f>C594-I594</f>
        <v/>
      </c>
    </row>
    <row r="595">
      <c r="I595">
        <f>F595+G595</f>
        <v/>
      </c>
      <c r="J595">
        <f>C595-I595</f>
        <v/>
      </c>
    </row>
    <row r="596">
      <c r="I596">
        <f>F596+G596</f>
        <v/>
      </c>
      <c r="J596">
        <f>C596-I596</f>
        <v/>
      </c>
    </row>
    <row r="597">
      <c r="I597">
        <f>F597+G597</f>
        <v/>
      </c>
      <c r="J597">
        <f>C597-I597</f>
        <v/>
      </c>
    </row>
    <row r="598">
      <c r="I598">
        <f>F598+G598</f>
        <v/>
      </c>
      <c r="J598">
        <f>C598-I598</f>
        <v/>
      </c>
    </row>
    <row r="599">
      <c r="I599">
        <f>F599+G599</f>
        <v/>
      </c>
      <c r="J599">
        <f>C599-I599</f>
        <v/>
      </c>
    </row>
    <row r="600">
      <c r="I600">
        <f>F600+G600</f>
        <v/>
      </c>
      <c r="J600">
        <f>C600-I600</f>
        <v/>
      </c>
    </row>
    <row r="601">
      <c r="I601">
        <f>F601+G601</f>
        <v/>
      </c>
      <c r="J601">
        <f>C601-I601</f>
        <v/>
      </c>
    </row>
    <row r="602">
      <c r="I602">
        <f>F602+G602</f>
        <v/>
      </c>
      <c r="J602">
        <f>C602-I602</f>
        <v/>
      </c>
    </row>
    <row r="603">
      <c r="I603">
        <f>F603+G603</f>
        <v/>
      </c>
      <c r="J603">
        <f>C603-I603</f>
        <v/>
      </c>
    </row>
    <row r="604">
      <c r="I604">
        <f>F604+G604</f>
        <v/>
      </c>
      <c r="J604">
        <f>C604-I604</f>
        <v/>
      </c>
    </row>
    <row r="605">
      <c r="I605">
        <f>F605+G605</f>
        <v/>
      </c>
      <c r="J605">
        <f>C605-I605</f>
        <v/>
      </c>
    </row>
    <row r="606">
      <c r="I606">
        <f>F606+G606</f>
        <v/>
      </c>
      <c r="J606">
        <f>C606-I606</f>
        <v/>
      </c>
    </row>
    <row r="607">
      <c r="I607">
        <f>F607+G607</f>
        <v/>
      </c>
      <c r="J607">
        <f>C607-I607</f>
        <v/>
      </c>
    </row>
    <row r="608">
      <c r="I608">
        <f>F608+G608</f>
        <v/>
      </c>
      <c r="J608">
        <f>C608-I608</f>
        <v/>
      </c>
    </row>
    <row r="609">
      <c r="I609">
        <f>F609+G609</f>
        <v/>
      </c>
      <c r="J609">
        <f>C609-I609</f>
        <v/>
      </c>
    </row>
    <row r="610">
      <c r="I610">
        <f>F610+G610</f>
        <v/>
      </c>
      <c r="J610">
        <f>C610-I610</f>
        <v/>
      </c>
    </row>
    <row r="611">
      <c r="I611">
        <f>F611+G611</f>
        <v/>
      </c>
      <c r="J611">
        <f>C611-I611</f>
        <v/>
      </c>
    </row>
    <row r="612">
      <c r="I612">
        <f>F612+G612</f>
        <v/>
      </c>
      <c r="J612">
        <f>C612-I612</f>
        <v/>
      </c>
    </row>
    <row r="613">
      <c r="I613">
        <f>F613+G613</f>
        <v/>
      </c>
      <c r="J613">
        <f>C613-I613</f>
        <v/>
      </c>
    </row>
    <row r="614">
      <c r="I614">
        <f>F614+G614</f>
        <v/>
      </c>
      <c r="J614">
        <f>C614-I614</f>
        <v/>
      </c>
    </row>
    <row r="615">
      <c r="I615">
        <f>F615+G615</f>
        <v/>
      </c>
      <c r="J615">
        <f>C615-I615</f>
        <v/>
      </c>
    </row>
    <row r="616">
      <c r="I616">
        <f>F616+G616</f>
        <v/>
      </c>
      <c r="J616">
        <f>C616-I616</f>
        <v/>
      </c>
    </row>
    <row r="617">
      <c r="I617">
        <f>F617+G617</f>
        <v/>
      </c>
      <c r="J617">
        <f>C617-I617</f>
        <v/>
      </c>
    </row>
    <row r="618">
      <c r="I618">
        <f>F618+G618</f>
        <v/>
      </c>
      <c r="J618">
        <f>C618-I618</f>
        <v/>
      </c>
    </row>
    <row r="619">
      <c r="I619">
        <f>F619+G619</f>
        <v/>
      </c>
      <c r="J619">
        <f>C619-I619</f>
        <v/>
      </c>
    </row>
    <row r="620">
      <c r="I620">
        <f>F620+G620</f>
        <v/>
      </c>
      <c r="J620">
        <f>C620-I620</f>
        <v/>
      </c>
    </row>
    <row r="621">
      <c r="I621">
        <f>F621+G621</f>
        <v/>
      </c>
      <c r="J621">
        <f>C621-I621</f>
        <v/>
      </c>
    </row>
    <row r="622">
      <c r="I622">
        <f>F622+G622</f>
        <v/>
      </c>
      <c r="J622">
        <f>C622-I622</f>
        <v/>
      </c>
    </row>
    <row r="623">
      <c r="I623">
        <f>F623+G623</f>
        <v/>
      </c>
      <c r="J623">
        <f>C623-I623</f>
        <v/>
      </c>
    </row>
    <row r="624">
      <c r="I624">
        <f>F624+G624</f>
        <v/>
      </c>
      <c r="J624">
        <f>C624-I624</f>
        <v/>
      </c>
    </row>
    <row r="625">
      <c r="I625">
        <f>F625+G625</f>
        <v/>
      </c>
      <c r="J625">
        <f>C625-I625</f>
        <v/>
      </c>
    </row>
    <row r="626">
      <c r="I626">
        <f>F626+G626</f>
        <v/>
      </c>
      <c r="J626">
        <f>C626-I626</f>
        <v/>
      </c>
    </row>
    <row r="627">
      <c r="I627">
        <f>F627+G627</f>
        <v/>
      </c>
      <c r="J627">
        <f>C627-I627</f>
        <v/>
      </c>
    </row>
    <row r="628">
      <c r="I628">
        <f>F628+G628</f>
        <v/>
      </c>
      <c r="J628">
        <f>C628-I628</f>
        <v/>
      </c>
    </row>
    <row r="629">
      <c r="I629">
        <f>F629+G629</f>
        <v/>
      </c>
      <c r="J629">
        <f>C629-I629</f>
        <v/>
      </c>
    </row>
    <row r="630">
      <c r="I630">
        <f>F630+G630</f>
        <v/>
      </c>
      <c r="J630">
        <f>C630-I630</f>
        <v/>
      </c>
    </row>
    <row r="631">
      <c r="I631">
        <f>F631+G631</f>
        <v/>
      </c>
      <c r="J631">
        <f>C631-I631</f>
        <v/>
      </c>
    </row>
    <row r="632">
      <c r="I632">
        <f>F632+G632</f>
        <v/>
      </c>
      <c r="J632">
        <f>C632-I632</f>
        <v/>
      </c>
    </row>
    <row r="633">
      <c r="I633">
        <f>F633+G633</f>
        <v/>
      </c>
      <c r="J633">
        <f>C633-I633</f>
        <v/>
      </c>
    </row>
    <row r="634">
      <c r="I634">
        <f>F634+G634</f>
        <v/>
      </c>
      <c r="J634">
        <f>C634-I634</f>
        <v/>
      </c>
    </row>
    <row r="635">
      <c r="I635">
        <f>F635+G635</f>
        <v/>
      </c>
      <c r="J635">
        <f>C635-I635</f>
        <v/>
      </c>
    </row>
    <row r="636">
      <c r="I636">
        <f>F636+G636</f>
        <v/>
      </c>
      <c r="J636">
        <f>C636-I636</f>
        <v/>
      </c>
    </row>
    <row r="637">
      <c r="I637">
        <f>F637+G637</f>
        <v/>
      </c>
      <c r="J637">
        <f>C637-I637</f>
        <v/>
      </c>
    </row>
    <row r="638">
      <c r="I638">
        <f>F638+G638</f>
        <v/>
      </c>
      <c r="J638">
        <f>C638-I638</f>
        <v/>
      </c>
    </row>
    <row r="639">
      <c r="I639">
        <f>F639+G639</f>
        <v/>
      </c>
      <c r="J639">
        <f>C639-I639</f>
        <v/>
      </c>
    </row>
    <row r="640">
      <c r="I640">
        <f>F640+G640</f>
        <v/>
      </c>
      <c r="J640">
        <f>C640-I640</f>
        <v/>
      </c>
    </row>
    <row r="641">
      <c r="I641">
        <f>F641+G641</f>
        <v/>
      </c>
      <c r="J641">
        <f>C641-I641</f>
        <v/>
      </c>
    </row>
    <row r="642">
      <c r="I642">
        <f>F642+G642</f>
        <v/>
      </c>
      <c r="J642">
        <f>C642-I642</f>
        <v/>
      </c>
    </row>
    <row r="643">
      <c r="I643">
        <f>F643+G643</f>
        <v/>
      </c>
      <c r="J643">
        <f>C643-I643</f>
        <v/>
      </c>
    </row>
    <row r="644">
      <c r="I644">
        <f>F644+G644</f>
        <v/>
      </c>
      <c r="J644">
        <f>C644-I644</f>
        <v/>
      </c>
    </row>
    <row r="645">
      <c r="I645">
        <f>F645+G645</f>
        <v/>
      </c>
      <c r="J645">
        <f>C645-I645</f>
        <v/>
      </c>
    </row>
    <row r="646">
      <c r="I646">
        <f>F646+G646</f>
        <v/>
      </c>
      <c r="J646">
        <f>C646-I646</f>
        <v/>
      </c>
    </row>
    <row r="647">
      <c r="I647">
        <f>F647+G647</f>
        <v/>
      </c>
      <c r="J647">
        <f>C647-I647</f>
        <v/>
      </c>
    </row>
    <row r="648">
      <c r="I648">
        <f>F648+G648</f>
        <v/>
      </c>
      <c r="J648">
        <f>C648-I648</f>
        <v/>
      </c>
    </row>
    <row r="649">
      <c r="I649">
        <f>F649+G649</f>
        <v/>
      </c>
      <c r="J649">
        <f>C649-I649</f>
        <v/>
      </c>
    </row>
    <row r="650">
      <c r="I650">
        <f>F650+G650</f>
        <v/>
      </c>
      <c r="J650">
        <f>C650-I650</f>
        <v/>
      </c>
    </row>
    <row r="651">
      <c r="I651">
        <f>F651+G651</f>
        <v/>
      </c>
      <c r="J651">
        <f>C651-I651</f>
        <v/>
      </c>
    </row>
    <row r="652">
      <c r="I652">
        <f>F652+G652</f>
        <v/>
      </c>
      <c r="J652">
        <f>C652-I652</f>
        <v/>
      </c>
    </row>
    <row r="653">
      <c r="I653">
        <f>F653+G653</f>
        <v/>
      </c>
      <c r="J653">
        <f>C653-I653</f>
        <v/>
      </c>
    </row>
    <row r="654">
      <c r="I654">
        <f>F654+G654</f>
        <v/>
      </c>
      <c r="J654">
        <f>C654-I654</f>
        <v/>
      </c>
    </row>
    <row r="655">
      <c r="I655">
        <f>F655+G655</f>
        <v/>
      </c>
      <c r="J655">
        <f>C655-I655</f>
        <v/>
      </c>
    </row>
    <row r="656">
      <c r="I656">
        <f>F656+G656</f>
        <v/>
      </c>
      <c r="J656">
        <f>C656-I656</f>
        <v/>
      </c>
    </row>
    <row r="657">
      <c r="I657">
        <f>F657+G657</f>
        <v/>
      </c>
      <c r="J657">
        <f>C657-I657</f>
        <v/>
      </c>
    </row>
    <row r="658">
      <c r="I658">
        <f>F658+G658</f>
        <v/>
      </c>
      <c r="J658">
        <f>C658-I658</f>
        <v/>
      </c>
    </row>
    <row r="659">
      <c r="I659">
        <f>F659+G659</f>
        <v/>
      </c>
      <c r="J659">
        <f>C659-I659</f>
        <v/>
      </c>
    </row>
    <row r="660">
      <c r="I660">
        <f>F660+G660</f>
        <v/>
      </c>
      <c r="J660">
        <f>C660-I660</f>
        <v/>
      </c>
    </row>
    <row r="661">
      <c r="I661">
        <f>F661+G661</f>
        <v/>
      </c>
      <c r="J661">
        <f>C661-I661</f>
        <v/>
      </c>
    </row>
    <row r="662">
      <c r="I662">
        <f>F662+G662</f>
        <v/>
      </c>
      <c r="J662">
        <f>C662-I662</f>
        <v/>
      </c>
    </row>
    <row r="663">
      <c r="I663">
        <f>F663+G663</f>
        <v/>
      </c>
      <c r="J663">
        <f>C663-I663</f>
        <v/>
      </c>
    </row>
    <row r="664">
      <c r="I664">
        <f>F664+G664</f>
        <v/>
      </c>
      <c r="J664">
        <f>C664-I664</f>
        <v/>
      </c>
    </row>
    <row r="665">
      <c r="I665">
        <f>F665+G665</f>
        <v/>
      </c>
      <c r="J665">
        <f>C665-I665</f>
        <v/>
      </c>
    </row>
    <row r="666">
      <c r="I666">
        <f>F666+G666</f>
        <v/>
      </c>
      <c r="J666">
        <f>C666-I666</f>
        <v/>
      </c>
    </row>
    <row r="667">
      <c r="I667">
        <f>F667+G667</f>
        <v/>
      </c>
      <c r="J667">
        <f>C667-I667</f>
        <v/>
      </c>
    </row>
    <row r="668">
      <c r="I668">
        <f>F668+G668</f>
        <v/>
      </c>
      <c r="J668">
        <f>C668-I668</f>
        <v/>
      </c>
    </row>
    <row r="669">
      <c r="I669">
        <f>F669+G669</f>
        <v/>
      </c>
      <c r="J669">
        <f>C669-I669</f>
        <v/>
      </c>
    </row>
    <row r="670">
      <c r="I670">
        <f>F670+G670</f>
        <v/>
      </c>
      <c r="J670">
        <f>C670-I670</f>
        <v/>
      </c>
    </row>
    <row r="671">
      <c r="I671">
        <f>F671+G671</f>
        <v/>
      </c>
      <c r="J671">
        <f>C671-I671</f>
        <v/>
      </c>
    </row>
    <row r="672">
      <c r="I672">
        <f>F672+G672</f>
        <v/>
      </c>
      <c r="J672">
        <f>C672-I672</f>
        <v/>
      </c>
    </row>
    <row r="673">
      <c r="I673">
        <f>F673+G673</f>
        <v/>
      </c>
      <c r="J673">
        <f>C673-I673</f>
        <v/>
      </c>
    </row>
    <row r="674">
      <c r="I674">
        <f>F674+G674</f>
        <v/>
      </c>
      <c r="J674">
        <f>C674-I674</f>
        <v/>
      </c>
    </row>
    <row r="675">
      <c r="I675">
        <f>F675+G675</f>
        <v/>
      </c>
      <c r="J675">
        <f>C675-I675</f>
        <v/>
      </c>
    </row>
    <row r="676">
      <c r="I676">
        <f>F676+G676</f>
        <v/>
      </c>
      <c r="J676">
        <f>C676-I676</f>
        <v/>
      </c>
    </row>
    <row r="677">
      <c r="I677">
        <f>F677+G677</f>
        <v/>
      </c>
      <c r="J677">
        <f>C677-I677</f>
        <v/>
      </c>
    </row>
    <row r="678">
      <c r="I678">
        <f>F678+G678</f>
        <v/>
      </c>
      <c r="J678">
        <f>C678-I678</f>
        <v/>
      </c>
    </row>
    <row r="679">
      <c r="I679">
        <f>F679+G679</f>
        <v/>
      </c>
      <c r="J679">
        <f>C679-I679</f>
        <v/>
      </c>
    </row>
    <row r="680">
      <c r="I680">
        <f>F680+G680</f>
        <v/>
      </c>
      <c r="J680">
        <f>C680-I680</f>
        <v/>
      </c>
    </row>
    <row r="681">
      <c r="I681">
        <f>F681+G681</f>
        <v/>
      </c>
      <c r="J681">
        <f>C681-I681</f>
        <v/>
      </c>
    </row>
    <row r="682">
      <c r="I682">
        <f>F682+G682</f>
        <v/>
      </c>
      <c r="J682">
        <f>C682-I682</f>
        <v/>
      </c>
    </row>
    <row r="683">
      <c r="I683">
        <f>F683+G683</f>
        <v/>
      </c>
      <c r="J683">
        <f>C683-I683</f>
        <v/>
      </c>
    </row>
    <row r="684">
      <c r="I684">
        <f>F684+G684</f>
        <v/>
      </c>
      <c r="J684">
        <f>C684-I684</f>
        <v/>
      </c>
    </row>
    <row r="685">
      <c r="I685">
        <f>F685+G685</f>
        <v/>
      </c>
      <c r="J685">
        <f>C685-I685</f>
        <v/>
      </c>
    </row>
    <row r="686">
      <c r="I686">
        <f>F686+G686</f>
        <v/>
      </c>
      <c r="J686">
        <f>C686-I686</f>
        <v/>
      </c>
    </row>
    <row r="687">
      <c r="I687">
        <f>F687+G687</f>
        <v/>
      </c>
      <c r="J687">
        <f>C687-I687</f>
        <v/>
      </c>
    </row>
    <row r="688">
      <c r="I688">
        <f>F688+G688</f>
        <v/>
      </c>
      <c r="J688">
        <f>C688-I688</f>
        <v/>
      </c>
    </row>
    <row r="689">
      <c r="I689">
        <f>F689+G689</f>
        <v/>
      </c>
      <c r="J689">
        <f>C689-I689</f>
        <v/>
      </c>
    </row>
    <row r="690">
      <c r="I690">
        <f>F690+G690</f>
        <v/>
      </c>
      <c r="J690">
        <f>C690-I690</f>
        <v/>
      </c>
    </row>
    <row r="691">
      <c r="I691">
        <f>F691+G691</f>
        <v/>
      </c>
      <c r="J691">
        <f>C691-I691</f>
        <v/>
      </c>
    </row>
    <row r="692">
      <c r="I692">
        <f>F692+G692</f>
        <v/>
      </c>
      <c r="J692">
        <f>C692-I692</f>
        <v/>
      </c>
    </row>
    <row r="693">
      <c r="I693">
        <f>F693+G693</f>
        <v/>
      </c>
      <c r="J693">
        <f>C693-I693</f>
        <v/>
      </c>
    </row>
    <row r="694">
      <c r="I694">
        <f>F694+G694</f>
        <v/>
      </c>
      <c r="J694">
        <f>C694-I694</f>
        <v/>
      </c>
    </row>
    <row r="695">
      <c r="I695">
        <f>F695+G695</f>
        <v/>
      </c>
      <c r="J695">
        <f>C695-I695</f>
        <v/>
      </c>
    </row>
    <row r="696">
      <c r="I696">
        <f>F696+G696</f>
        <v/>
      </c>
      <c r="J696">
        <f>C696-I696</f>
        <v/>
      </c>
    </row>
    <row r="697">
      <c r="I697">
        <f>F697+G697</f>
        <v/>
      </c>
      <c r="J697">
        <f>C697-I697</f>
        <v/>
      </c>
    </row>
    <row r="698">
      <c r="I698">
        <f>F698+G698</f>
        <v/>
      </c>
      <c r="J698">
        <f>C698-I698</f>
        <v/>
      </c>
    </row>
    <row r="699">
      <c r="I699">
        <f>F699+G699</f>
        <v/>
      </c>
      <c r="J699">
        <f>C699-I699</f>
        <v/>
      </c>
    </row>
    <row r="700">
      <c r="I700">
        <f>F700+G700</f>
        <v/>
      </c>
      <c r="J700">
        <f>C700-I700</f>
        <v/>
      </c>
    </row>
    <row r="701">
      <c r="I701">
        <f>F701+G701</f>
        <v/>
      </c>
      <c r="J701">
        <f>C701-I701</f>
        <v/>
      </c>
    </row>
    <row r="702">
      <c r="I702">
        <f>F702+G702</f>
        <v/>
      </c>
      <c r="J702">
        <f>C702-I702</f>
        <v/>
      </c>
    </row>
    <row r="703">
      <c r="I703">
        <f>F703+G703</f>
        <v/>
      </c>
      <c r="J703">
        <f>C703-I703</f>
        <v/>
      </c>
    </row>
    <row r="704">
      <c r="I704">
        <f>F704+G704</f>
        <v/>
      </c>
      <c r="J704">
        <f>C704-I704</f>
        <v/>
      </c>
    </row>
    <row r="705">
      <c r="I705">
        <f>F705+G705</f>
        <v/>
      </c>
      <c r="J705">
        <f>C705-I705</f>
        <v/>
      </c>
    </row>
    <row r="706">
      <c r="I706">
        <f>F706+G706</f>
        <v/>
      </c>
      <c r="J706">
        <f>C706-I706</f>
        <v/>
      </c>
    </row>
    <row r="707">
      <c r="I707">
        <f>F707+G707</f>
        <v/>
      </c>
      <c r="J707">
        <f>C707-I707</f>
        <v/>
      </c>
    </row>
    <row r="708">
      <c r="I708">
        <f>F708+G708</f>
        <v/>
      </c>
      <c r="J708">
        <f>C708-I708</f>
        <v/>
      </c>
    </row>
    <row r="709">
      <c r="I709">
        <f>F709+G709</f>
        <v/>
      </c>
      <c r="J709">
        <f>C709-I709</f>
        <v/>
      </c>
    </row>
    <row r="710">
      <c r="I710">
        <f>F710+G710</f>
        <v/>
      </c>
      <c r="J710">
        <f>C710-I710</f>
        <v/>
      </c>
    </row>
    <row r="711">
      <c r="I711">
        <f>F711+G711</f>
        <v/>
      </c>
      <c r="J711">
        <f>C711-I711</f>
        <v/>
      </c>
    </row>
    <row r="712">
      <c r="I712">
        <f>F712+G712</f>
        <v/>
      </c>
      <c r="J712">
        <f>C712-I712</f>
        <v/>
      </c>
    </row>
    <row r="713">
      <c r="I713">
        <f>F713+G713</f>
        <v/>
      </c>
      <c r="J713">
        <f>C713-I713</f>
        <v/>
      </c>
    </row>
    <row r="714">
      <c r="I714">
        <f>F714+G714</f>
        <v/>
      </c>
      <c r="J714">
        <f>C714-I714</f>
        <v/>
      </c>
    </row>
    <row r="715">
      <c r="I715">
        <f>F715+G715</f>
        <v/>
      </c>
      <c r="J715">
        <f>C715-I715</f>
        <v/>
      </c>
    </row>
    <row r="716">
      <c r="I716">
        <f>F716+G716</f>
        <v/>
      </c>
      <c r="J716">
        <f>C716-I716</f>
        <v/>
      </c>
    </row>
    <row r="717">
      <c r="I717">
        <f>F717+G717</f>
        <v/>
      </c>
      <c r="J717">
        <f>C717-I717</f>
        <v/>
      </c>
    </row>
    <row r="718">
      <c r="I718">
        <f>F718+G718</f>
        <v/>
      </c>
      <c r="J718">
        <f>C718-I718</f>
        <v/>
      </c>
    </row>
    <row r="719">
      <c r="I719">
        <f>F719+G719</f>
        <v/>
      </c>
      <c r="J719">
        <f>C719-I719</f>
        <v/>
      </c>
    </row>
    <row r="720">
      <c r="I720">
        <f>F720+G720</f>
        <v/>
      </c>
      <c r="J720">
        <f>C720-I720</f>
        <v/>
      </c>
    </row>
    <row r="721">
      <c r="I721">
        <f>F721+G721</f>
        <v/>
      </c>
      <c r="J721">
        <f>C721-I721</f>
        <v/>
      </c>
    </row>
    <row r="722">
      <c r="I722">
        <f>F722+G722</f>
        <v/>
      </c>
      <c r="J722">
        <f>C722-I722</f>
        <v/>
      </c>
    </row>
    <row r="723">
      <c r="I723">
        <f>F723+G723</f>
        <v/>
      </c>
      <c r="J723">
        <f>C723-I723</f>
        <v/>
      </c>
    </row>
    <row r="724">
      <c r="I724">
        <f>F724+G724</f>
        <v/>
      </c>
      <c r="J724">
        <f>C724-I724</f>
        <v/>
      </c>
    </row>
    <row r="725">
      <c r="I725">
        <f>F725+G725</f>
        <v/>
      </c>
      <c r="J725">
        <f>C725-I725</f>
        <v/>
      </c>
    </row>
    <row r="726">
      <c r="I726">
        <f>F726+G726</f>
        <v/>
      </c>
      <c r="J726">
        <f>C726-I726</f>
        <v/>
      </c>
    </row>
    <row r="727">
      <c r="I727">
        <f>F727+G727</f>
        <v/>
      </c>
      <c r="J727">
        <f>C727-I727</f>
        <v/>
      </c>
    </row>
    <row r="728">
      <c r="I728">
        <f>F728+G728</f>
        <v/>
      </c>
      <c r="J728">
        <f>C728-I728</f>
        <v/>
      </c>
    </row>
    <row r="729">
      <c r="I729">
        <f>F729+G729</f>
        <v/>
      </c>
      <c r="J729">
        <f>C729-I729</f>
        <v/>
      </c>
    </row>
    <row r="730">
      <c r="I730">
        <f>F730+G730</f>
        <v/>
      </c>
      <c r="J730">
        <f>C730-I730</f>
        <v/>
      </c>
    </row>
    <row r="731">
      <c r="I731">
        <f>F731+G731</f>
        <v/>
      </c>
      <c r="J731">
        <f>C731-I731</f>
        <v/>
      </c>
    </row>
    <row r="732">
      <c r="I732">
        <f>F732+G732</f>
        <v/>
      </c>
      <c r="J732">
        <f>C732-I732</f>
        <v/>
      </c>
    </row>
    <row r="733">
      <c r="I733">
        <f>F733+G733</f>
        <v/>
      </c>
      <c r="J733">
        <f>C733-I733</f>
        <v/>
      </c>
    </row>
    <row r="734">
      <c r="I734">
        <f>F734+G734</f>
        <v/>
      </c>
      <c r="J734">
        <f>C734-I734</f>
        <v/>
      </c>
    </row>
    <row r="735">
      <c r="I735">
        <f>F735+G735</f>
        <v/>
      </c>
      <c r="J735">
        <f>C735-I735</f>
        <v/>
      </c>
    </row>
    <row r="736">
      <c r="I736">
        <f>F736+G736</f>
        <v/>
      </c>
      <c r="J736">
        <f>C736-I736</f>
        <v/>
      </c>
    </row>
    <row r="737">
      <c r="I737">
        <f>F737+G737</f>
        <v/>
      </c>
      <c r="J737">
        <f>C737-I737</f>
        <v/>
      </c>
    </row>
    <row r="738">
      <c r="I738">
        <f>F738+G738</f>
        <v/>
      </c>
      <c r="J738">
        <f>C738-I738</f>
        <v/>
      </c>
    </row>
    <row r="739">
      <c r="I739">
        <f>F739+G739</f>
        <v/>
      </c>
      <c r="J739">
        <f>C739-I739</f>
        <v/>
      </c>
    </row>
    <row r="740">
      <c r="I740">
        <f>F740+G740</f>
        <v/>
      </c>
      <c r="J740">
        <f>C740-I740</f>
        <v/>
      </c>
    </row>
    <row r="741">
      <c r="I741">
        <f>F741+G741</f>
        <v/>
      </c>
      <c r="J741">
        <f>C741-I741</f>
        <v/>
      </c>
    </row>
    <row r="742">
      <c r="I742">
        <f>F742+G742</f>
        <v/>
      </c>
      <c r="J742">
        <f>C742-I742</f>
        <v/>
      </c>
    </row>
    <row r="743">
      <c r="I743">
        <f>F743+G743</f>
        <v/>
      </c>
      <c r="J743">
        <f>C743-I743</f>
        <v/>
      </c>
    </row>
    <row r="744">
      <c r="I744">
        <f>F744+G744</f>
        <v/>
      </c>
      <c r="J744">
        <f>C744-I744</f>
        <v/>
      </c>
    </row>
    <row r="745">
      <c r="I745">
        <f>F745+G745</f>
        <v/>
      </c>
      <c r="J745">
        <f>C745-I745</f>
        <v/>
      </c>
    </row>
    <row r="746">
      <c r="I746">
        <f>F746+G746</f>
        <v/>
      </c>
      <c r="J746">
        <f>C746-I746</f>
        <v/>
      </c>
    </row>
    <row r="747">
      <c r="I747">
        <f>F747+G747</f>
        <v/>
      </c>
      <c r="J747">
        <f>C747-I747</f>
        <v/>
      </c>
    </row>
    <row r="748">
      <c r="I748">
        <f>F748+G748</f>
        <v/>
      </c>
      <c r="J748">
        <f>C748-I748</f>
        <v/>
      </c>
    </row>
    <row r="749">
      <c r="I749">
        <f>F749+G749</f>
        <v/>
      </c>
      <c r="J749">
        <f>C749-I749</f>
        <v/>
      </c>
    </row>
    <row r="750">
      <c r="I750">
        <f>F750+G750</f>
        <v/>
      </c>
      <c r="J750">
        <f>C750-I750</f>
        <v/>
      </c>
    </row>
    <row r="751">
      <c r="I751">
        <f>F751+G751</f>
        <v/>
      </c>
      <c r="J751">
        <f>C751-I751</f>
        <v/>
      </c>
    </row>
    <row r="752">
      <c r="I752">
        <f>F752+G752</f>
        <v/>
      </c>
      <c r="J752">
        <f>C752-I752</f>
        <v/>
      </c>
    </row>
    <row r="753">
      <c r="I753">
        <f>F753+G753</f>
        <v/>
      </c>
      <c r="J753">
        <f>C753-I753</f>
        <v/>
      </c>
    </row>
    <row r="754">
      <c r="I754">
        <f>F754+G754</f>
        <v/>
      </c>
      <c r="J754">
        <f>C754-I754</f>
        <v/>
      </c>
    </row>
    <row r="755">
      <c r="I755">
        <f>F755+G755</f>
        <v/>
      </c>
      <c r="J755">
        <f>C755-I755</f>
        <v/>
      </c>
    </row>
    <row r="756">
      <c r="I756">
        <f>F756+G756</f>
        <v/>
      </c>
      <c r="J756">
        <f>C756-I756</f>
        <v/>
      </c>
    </row>
    <row r="757">
      <c r="I757">
        <f>F757+G757</f>
        <v/>
      </c>
      <c r="J757">
        <f>C757-I757</f>
        <v/>
      </c>
    </row>
    <row r="758">
      <c r="I758">
        <f>F758+G758</f>
        <v/>
      </c>
      <c r="J758">
        <f>C758-I758</f>
        <v/>
      </c>
    </row>
    <row r="759">
      <c r="I759">
        <f>F759+G759</f>
        <v/>
      </c>
      <c r="J759">
        <f>C759-I759</f>
        <v/>
      </c>
    </row>
    <row r="760">
      <c r="I760">
        <f>F760+G760</f>
        <v/>
      </c>
      <c r="J760">
        <f>C760-I760</f>
        <v/>
      </c>
    </row>
    <row r="761">
      <c r="I761">
        <f>F761+G761</f>
        <v/>
      </c>
      <c r="J761">
        <f>C761-I761</f>
        <v/>
      </c>
    </row>
    <row r="762">
      <c r="I762">
        <f>F762+G762</f>
        <v/>
      </c>
      <c r="J762">
        <f>C762-I762</f>
        <v/>
      </c>
    </row>
    <row r="763">
      <c r="I763">
        <f>F763+G763</f>
        <v/>
      </c>
      <c r="J763">
        <f>C763-I763</f>
        <v/>
      </c>
    </row>
    <row r="764">
      <c r="I764">
        <f>F764+G764</f>
        <v/>
      </c>
      <c r="J764">
        <f>C764-I764</f>
        <v/>
      </c>
    </row>
    <row r="765">
      <c r="I765">
        <f>F765+G765</f>
        <v/>
      </c>
      <c r="J765">
        <f>C765-I765</f>
        <v/>
      </c>
    </row>
    <row r="766">
      <c r="I766">
        <f>F766+G766</f>
        <v/>
      </c>
      <c r="J766">
        <f>C766-I766</f>
        <v/>
      </c>
    </row>
    <row r="767">
      <c r="I767">
        <f>F767+G767</f>
        <v/>
      </c>
      <c r="J767">
        <f>C767-I767</f>
        <v/>
      </c>
    </row>
    <row r="768">
      <c r="I768">
        <f>F768+G768</f>
        <v/>
      </c>
      <c r="J768">
        <f>C768-I768</f>
        <v/>
      </c>
    </row>
    <row r="769">
      <c r="I769">
        <f>F769+G769</f>
        <v/>
      </c>
      <c r="J769">
        <f>C769-I769</f>
        <v/>
      </c>
    </row>
    <row r="770">
      <c r="I770">
        <f>F770+G770</f>
        <v/>
      </c>
      <c r="J770">
        <f>C770-I770</f>
        <v/>
      </c>
    </row>
    <row r="771">
      <c r="I771">
        <f>F771+G771</f>
        <v/>
      </c>
      <c r="J771">
        <f>C771-I771</f>
        <v/>
      </c>
    </row>
    <row r="772">
      <c r="I772">
        <f>F772+G772</f>
        <v/>
      </c>
      <c r="J772">
        <f>C772-I772</f>
        <v/>
      </c>
    </row>
    <row r="773">
      <c r="I773">
        <f>F773+G773</f>
        <v/>
      </c>
      <c r="J773">
        <f>C773-I773</f>
        <v/>
      </c>
    </row>
    <row r="774">
      <c r="I774">
        <f>F774+G774</f>
        <v/>
      </c>
      <c r="J774">
        <f>C774-I774</f>
        <v/>
      </c>
    </row>
    <row r="775">
      <c r="I775">
        <f>F775+G775</f>
        <v/>
      </c>
      <c r="J775">
        <f>C775-I775</f>
        <v/>
      </c>
    </row>
    <row r="776">
      <c r="I776">
        <f>F776+G776</f>
        <v/>
      </c>
      <c r="J776">
        <f>C776-I776</f>
        <v/>
      </c>
    </row>
    <row r="777">
      <c r="I777">
        <f>F777+G777</f>
        <v/>
      </c>
      <c r="J777">
        <f>C777-I777</f>
        <v/>
      </c>
    </row>
    <row r="778">
      <c r="I778">
        <f>F778+G778</f>
        <v/>
      </c>
      <c r="J778">
        <f>C778-I778</f>
        <v/>
      </c>
    </row>
    <row r="779">
      <c r="I779">
        <f>F779+G779</f>
        <v/>
      </c>
      <c r="J779">
        <f>C779-I779</f>
        <v/>
      </c>
    </row>
    <row r="780">
      <c r="I780">
        <f>F780+G780</f>
        <v/>
      </c>
      <c r="J780">
        <f>C780-I780</f>
        <v/>
      </c>
    </row>
    <row r="781">
      <c r="I781">
        <f>F781+G781</f>
        <v/>
      </c>
      <c r="J781">
        <f>C781-I781</f>
        <v/>
      </c>
    </row>
    <row r="782">
      <c r="I782">
        <f>F782+G782</f>
        <v/>
      </c>
      <c r="J782">
        <f>C782-I782</f>
        <v/>
      </c>
    </row>
    <row r="783">
      <c r="I783">
        <f>F783+G783</f>
        <v/>
      </c>
      <c r="J783">
        <f>C783-I783</f>
        <v/>
      </c>
    </row>
    <row r="784">
      <c r="I784">
        <f>F784+G784</f>
        <v/>
      </c>
      <c r="J784">
        <f>C784-I784</f>
        <v/>
      </c>
    </row>
    <row r="785">
      <c r="I785">
        <f>F785+G785</f>
        <v/>
      </c>
      <c r="J785">
        <f>C785-I785</f>
        <v/>
      </c>
    </row>
    <row r="786">
      <c r="I786">
        <f>F786+G786</f>
        <v/>
      </c>
      <c r="J786">
        <f>C786-I786</f>
        <v/>
      </c>
    </row>
    <row r="787">
      <c r="I787">
        <f>F787+G787</f>
        <v/>
      </c>
      <c r="J787">
        <f>C787-I787</f>
        <v/>
      </c>
    </row>
    <row r="788">
      <c r="I788">
        <f>F788+G788</f>
        <v/>
      </c>
      <c r="J788">
        <f>C788-I788</f>
        <v/>
      </c>
    </row>
    <row r="789">
      <c r="I789">
        <f>F789+G789</f>
        <v/>
      </c>
      <c r="J789">
        <f>C789-I789</f>
        <v/>
      </c>
    </row>
    <row r="790">
      <c r="I790">
        <f>F790+G790</f>
        <v/>
      </c>
      <c r="J790">
        <f>C790-I790</f>
        <v/>
      </c>
    </row>
    <row r="791">
      <c r="I791">
        <f>F791+G791</f>
        <v/>
      </c>
      <c r="J791">
        <f>C791-I791</f>
        <v/>
      </c>
    </row>
    <row r="792">
      <c r="I792">
        <f>F792+G792</f>
        <v/>
      </c>
      <c r="J792">
        <f>C792-I792</f>
        <v/>
      </c>
    </row>
    <row r="793">
      <c r="I793">
        <f>F793+G793</f>
        <v/>
      </c>
      <c r="J793">
        <f>C793-I793</f>
        <v/>
      </c>
    </row>
    <row r="794">
      <c r="I794">
        <f>F794+G794</f>
        <v/>
      </c>
      <c r="J794">
        <f>C794-I794</f>
        <v/>
      </c>
    </row>
    <row r="795">
      <c r="I795">
        <f>F795+G795</f>
        <v/>
      </c>
      <c r="J795">
        <f>C795-I795</f>
        <v/>
      </c>
    </row>
    <row r="796">
      <c r="I796">
        <f>F796+G796</f>
        <v/>
      </c>
      <c r="J796">
        <f>C796-I796</f>
        <v/>
      </c>
    </row>
    <row r="797">
      <c r="I797">
        <f>F797+G797</f>
        <v/>
      </c>
      <c r="J797">
        <f>C797-I797</f>
        <v/>
      </c>
    </row>
    <row r="798">
      <c r="I798">
        <f>F798+G798</f>
        <v/>
      </c>
      <c r="J798">
        <f>C798-I798</f>
        <v/>
      </c>
    </row>
    <row r="799">
      <c r="I799">
        <f>F799+G799</f>
        <v/>
      </c>
      <c r="J799">
        <f>C799-I799</f>
        <v/>
      </c>
    </row>
    <row r="800">
      <c r="I800">
        <f>F800+G800</f>
        <v/>
      </c>
      <c r="J800">
        <f>C800-I800</f>
        <v/>
      </c>
    </row>
    <row r="801">
      <c r="I801">
        <f>F801+G801</f>
        <v/>
      </c>
      <c r="J801">
        <f>C801-I801</f>
        <v/>
      </c>
    </row>
    <row r="802">
      <c r="I802">
        <f>F802+G802</f>
        <v/>
      </c>
      <c r="J802">
        <f>C802-I802</f>
        <v/>
      </c>
    </row>
    <row r="803">
      <c r="I803">
        <f>F803+G803</f>
        <v/>
      </c>
      <c r="J803">
        <f>C803-I803</f>
        <v/>
      </c>
    </row>
    <row r="804">
      <c r="I804">
        <f>F804+G804</f>
        <v/>
      </c>
      <c r="J804">
        <f>C804-I804</f>
        <v/>
      </c>
    </row>
    <row r="805">
      <c r="I805">
        <f>F805+G805</f>
        <v/>
      </c>
      <c r="J805">
        <f>C805-I805</f>
        <v/>
      </c>
    </row>
    <row r="806">
      <c r="I806">
        <f>F806+G806</f>
        <v/>
      </c>
      <c r="J806">
        <f>C806-I806</f>
        <v/>
      </c>
    </row>
    <row r="807">
      <c r="I807">
        <f>F807+G807</f>
        <v/>
      </c>
      <c r="J807">
        <f>C807-I807</f>
        <v/>
      </c>
    </row>
    <row r="808">
      <c r="I808">
        <f>F808+G808</f>
        <v/>
      </c>
      <c r="J808">
        <f>C808-I808</f>
        <v/>
      </c>
    </row>
    <row r="809">
      <c r="I809">
        <f>F809+G809</f>
        <v/>
      </c>
      <c r="J809">
        <f>C809-I809</f>
        <v/>
      </c>
    </row>
    <row r="810">
      <c r="I810">
        <f>F810+G810</f>
        <v/>
      </c>
      <c r="J810">
        <f>C810-I810</f>
        <v/>
      </c>
    </row>
    <row r="811">
      <c r="I811">
        <f>F811+G811</f>
        <v/>
      </c>
      <c r="J811">
        <f>C811-I811</f>
        <v/>
      </c>
    </row>
    <row r="812">
      <c r="I812">
        <f>F812+G812</f>
        <v/>
      </c>
      <c r="J812">
        <f>C812-I812</f>
        <v/>
      </c>
    </row>
    <row r="813">
      <c r="I813">
        <f>F813+G813</f>
        <v/>
      </c>
      <c r="J813">
        <f>C813-I813</f>
        <v/>
      </c>
    </row>
    <row r="814">
      <c r="I814">
        <f>F814+G814</f>
        <v/>
      </c>
      <c r="J814">
        <f>C814-I814</f>
        <v/>
      </c>
    </row>
    <row r="815">
      <c r="I815">
        <f>F815+G815</f>
        <v/>
      </c>
      <c r="J815">
        <f>C815-I815</f>
        <v/>
      </c>
    </row>
    <row r="816">
      <c r="I816">
        <f>F816+G816</f>
        <v/>
      </c>
      <c r="J816">
        <f>C816-I816</f>
        <v/>
      </c>
    </row>
    <row r="817">
      <c r="I817">
        <f>F817+G817</f>
        <v/>
      </c>
      <c r="J817">
        <f>C817-I817</f>
        <v/>
      </c>
    </row>
    <row r="818">
      <c r="I818">
        <f>F818+G818</f>
        <v/>
      </c>
      <c r="J818">
        <f>C818-I818</f>
        <v/>
      </c>
    </row>
    <row r="819">
      <c r="I819">
        <f>F819+G819</f>
        <v/>
      </c>
      <c r="J819">
        <f>C819-I819</f>
        <v/>
      </c>
    </row>
    <row r="820">
      <c r="I820">
        <f>F820+G820</f>
        <v/>
      </c>
      <c r="J820">
        <f>C820-I820</f>
        <v/>
      </c>
    </row>
    <row r="821">
      <c r="I821">
        <f>F821+G821</f>
        <v/>
      </c>
      <c r="J821">
        <f>C821-I821</f>
        <v/>
      </c>
    </row>
    <row r="822">
      <c r="I822">
        <f>F822+G822</f>
        <v/>
      </c>
      <c r="J822">
        <f>C822-I822</f>
        <v/>
      </c>
    </row>
    <row r="823">
      <c r="I823">
        <f>F823+G823</f>
        <v/>
      </c>
      <c r="J823">
        <f>C823-I823</f>
        <v/>
      </c>
    </row>
    <row r="824">
      <c r="I824">
        <f>F824+G824</f>
        <v/>
      </c>
      <c r="J824">
        <f>C824-I824</f>
        <v/>
      </c>
    </row>
    <row r="825">
      <c r="I825">
        <f>F825+G825</f>
        <v/>
      </c>
      <c r="J825">
        <f>C825-I825</f>
        <v/>
      </c>
    </row>
    <row r="826">
      <c r="I826">
        <f>F826+G826</f>
        <v/>
      </c>
      <c r="J826">
        <f>C826-I826</f>
        <v/>
      </c>
    </row>
    <row r="827">
      <c r="I827">
        <f>F827+G827</f>
        <v/>
      </c>
      <c r="J827">
        <f>C827-I827</f>
        <v/>
      </c>
    </row>
    <row r="828">
      <c r="I828">
        <f>F828+G828</f>
        <v/>
      </c>
      <c r="J828">
        <f>C828-I828</f>
        <v/>
      </c>
    </row>
    <row r="829">
      <c r="I829">
        <f>F829+G829</f>
        <v/>
      </c>
      <c r="J829">
        <f>C829-I829</f>
        <v/>
      </c>
    </row>
    <row r="830">
      <c r="I830">
        <f>F830+G830</f>
        <v/>
      </c>
      <c r="J830">
        <f>C830-I830</f>
        <v/>
      </c>
    </row>
    <row r="831">
      <c r="I831">
        <f>F831+G831</f>
        <v/>
      </c>
      <c r="J831">
        <f>C831-I831</f>
        <v/>
      </c>
    </row>
    <row r="832">
      <c r="I832">
        <f>F832+G832</f>
        <v/>
      </c>
      <c r="J832">
        <f>C832-I832</f>
        <v/>
      </c>
    </row>
    <row r="833">
      <c r="I833">
        <f>F833+G833</f>
        <v/>
      </c>
      <c r="J833">
        <f>C833-I833</f>
        <v/>
      </c>
    </row>
    <row r="834">
      <c r="I834">
        <f>F834+G834</f>
        <v/>
      </c>
      <c r="J834">
        <f>C834-I834</f>
        <v/>
      </c>
    </row>
    <row r="835">
      <c r="I835">
        <f>F835+G835</f>
        <v/>
      </c>
      <c r="J835">
        <f>C835-I835</f>
        <v/>
      </c>
    </row>
    <row r="836">
      <c r="I836">
        <f>F836+G836</f>
        <v/>
      </c>
      <c r="J836">
        <f>C836-I836</f>
        <v/>
      </c>
    </row>
    <row r="837">
      <c r="I837">
        <f>F837+G837</f>
        <v/>
      </c>
      <c r="J837">
        <f>C837-I837</f>
        <v/>
      </c>
    </row>
    <row r="838">
      <c r="I838">
        <f>F838+G838</f>
        <v/>
      </c>
      <c r="J838">
        <f>C838-I838</f>
        <v/>
      </c>
    </row>
    <row r="839">
      <c r="I839">
        <f>F839+G839</f>
        <v/>
      </c>
      <c r="J839">
        <f>C839-I839</f>
        <v/>
      </c>
    </row>
    <row r="840">
      <c r="I840">
        <f>F840+G840</f>
        <v/>
      </c>
      <c r="J840">
        <f>C840-I840</f>
        <v/>
      </c>
    </row>
    <row r="841">
      <c r="I841">
        <f>F841+G841</f>
        <v/>
      </c>
      <c r="J841">
        <f>C841-I841</f>
        <v/>
      </c>
    </row>
    <row r="842">
      <c r="I842">
        <f>F842+G842</f>
        <v/>
      </c>
      <c r="J842">
        <f>C842-I842</f>
        <v/>
      </c>
    </row>
    <row r="843">
      <c r="I843">
        <f>F843+G843</f>
        <v/>
      </c>
      <c r="J843">
        <f>C843-I843</f>
        <v/>
      </c>
    </row>
    <row r="844">
      <c r="I844">
        <f>F844+G844</f>
        <v/>
      </c>
      <c r="J844">
        <f>C844-I844</f>
        <v/>
      </c>
    </row>
    <row r="845">
      <c r="I845">
        <f>F845+G845</f>
        <v/>
      </c>
      <c r="J845">
        <f>C845-I845</f>
        <v/>
      </c>
    </row>
    <row r="846">
      <c r="I846">
        <f>F846+G846</f>
        <v/>
      </c>
      <c r="J846">
        <f>C846-I846</f>
        <v/>
      </c>
    </row>
    <row r="847">
      <c r="I847">
        <f>F847+G847</f>
        <v/>
      </c>
      <c r="J847">
        <f>C847-I847</f>
        <v/>
      </c>
    </row>
    <row r="848">
      <c r="I848">
        <f>F848+G848</f>
        <v/>
      </c>
      <c r="J848">
        <f>C848-I848</f>
        <v/>
      </c>
    </row>
    <row r="849">
      <c r="I849">
        <f>F849+G849</f>
        <v/>
      </c>
      <c r="J849">
        <f>C849-I849</f>
        <v/>
      </c>
    </row>
    <row r="850">
      <c r="I850">
        <f>F850+G850</f>
        <v/>
      </c>
      <c r="J850">
        <f>C850-I850</f>
        <v/>
      </c>
    </row>
    <row r="851">
      <c r="I851">
        <f>F851+G851</f>
        <v/>
      </c>
      <c r="J851">
        <f>C851-I851</f>
        <v/>
      </c>
    </row>
    <row r="852">
      <c r="I852">
        <f>F852+G852</f>
        <v/>
      </c>
      <c r="J852">
        <f>C852-I852</f>
        <v/>
      </c>
    </row>
    <row r="853">
      <c r="I853">
        <f>F853+G853</f>
        <v/>
      </c>
      <c r="J853">
        <f>C853-I853</f>
        <v/>
      </c>
    </row>
    <row r="854">
      <c r="I854">
        <f>F854+G854</f>
        <v/>
      </c>
      <c r="J854">
        <f>C854-I854</f>
        <v/>
      </c>
    </row>
    <row r="855">
      <c r="I855">
        <f>F855+G855</f>
        <v/>
      </c>
      <c r="J855">
        <f>C855-I855</f>
        <v/>
      </c>
    </row>
    <row r="856">
      <c r="I856">
        <f>F856+G856</f>
        <v/>
      </c>
      <c r="J856">
        <f>C856-I856</f>
        <v/>
      </c>
    </row>
    <row r="857">
      <c r="I857">
        <f>F857+G857</f>
        <v/>
      </c>
      <c r="J857">
        <f>C857-I857</f>
        <v/>
      </c>
    </row>
    <row r="858">
      <c r="I858">
        <f>F858+G858</f>
        <v/>
      </c>
      <c r="J858">
        <f>C858-I858</f>
        <v/>
      </c>
    </row>
    <row r="859">
      <c r="I859">
        <f>F859+G859</f>
        <v/>
      </c>
      <c r="J859">
        <f>C859-I859</f>
        <v/>
      </c>
    </row>
    <row r="860">
      <c r="I860">
        <f>F860+G860</f>
        <v/>
      </c>
      <c r="J860">
        <f>C860-I860</f>
        <v/>
      </c>
    </row>
    <row r="861">
      <c r="I861">
        <f>F861+G861</f>
        <v/>
      </c>
      <c r="J861">
        <f>C861-I861</f>
        <v/>
      </c>
    </row>
    <row r="862">
      <c r="I862">
        <f>F862+G862</f>
        <v/>
      </c>
      <c r="J862">
        <f>C862-I862</f>
        <v/>
      </c>
    </row>
    <row r="863">
      <c r="I863">
        <f>F863+G863</f>
        <v/>
      </c>
      <c r="J863">
        <f>C863-I863</f>
        <v/>
      </c>
    </row>
    <row r="864">
      <c r="I864">
        <f>F864+G864</f>
        <v/>
      </c>
      <c r="J864">
        <f>C864-I864</f>
        <v/>
      </c>
    </row>
    <row r="865">
      <c r="I865">
        <f>F865+G865</f>
        <v/>
      </c>
      <c r="J865">
        <f>C865-I865</f>
        <v/>
      </c>
    </row>
    <row r="866">
      <c r="I866">
        <f>F866+G866</f>
        <v/>
      </c>
      <c r="J866">
        <f>C866-I866</f>
        <v/>
      </c>
    </row>
    <row r="867">
      <c r="I867">
        <f>F867+G867</f>
        <v/>
      </c>
      <c r="J867">
        <f>C867-I867</f>
        <v/>
      </c>
    </row>
    <row r="868">
      <c r="I868">
        <f>F868+G868</f>
        <v/>
      </c>
      <c r="J868">
        <f>C868-I868</f>
        <v/>
      </c>
    </row>
    <row r="869">
      <c r="I869">
        <f>F869+G869</f>
        <v/>
      </c>
      <c r="J869">
        <f>C869-I869</f>
        <v/>
      </c>
    </row>
    <row r="870">
      <c r="I870">
        <f>F870+G870</f>
        <v/>
      </c>
      <c r="J870">
        <f>C870-I870</f>
        <v/>
      </c>
    </row>
    <row r="871">
      <c r="I871">
        <f>F871+G871</f>
        <v/>
      </c>
      <c r="J871">
        <f>C871-I871</f>
        <v/>
      </c>
    </row>
    <row r="872">
      <c r="I872">
        <f>F872+G872</f>
        <v/>
      </c>
      <c r="J872">
        <f>C872-I872</f>
        <v/>
      </c>
    </row>
    <row r="873">
      <c r="I873">
        <f>F873+G873</f>
        <v/>
      </c>
      <c r="J873">
        <f>C873-I873</f>
        <v/>
      </c>
    </row>
    <row r="874">
      <c r="I874">
        <f>F874+G874</f>
        <v/>
      </c>
      <c r="J874">
        <f>C874-I874</f>
        <v/>
      </c>
    </row>
    <row r="875">
      <c r="I875">
        <f>F875+G875</f>
        <v/>
      </c>
      <c r="J875">
        <f>C875-I875</f>
        <v/>
      </c>
    </row>
    <row r="876">
      <c r="I876">
        <f>F876+G876</f>
        <v/>
      </c>
      <c r="J876">
        <f>C876-I876</f>
        <v/>
      </c>
    </row>
    <row r="877">
      <c r="I877">
        <f>F877+G877</f>
        <v/>
      </c>
      <c r="J877">
        <f>C877-I877</f>
        <v/>
      </c>
    </row>
    <row r="878">
      <c r="I878">
        <f>F878+G878</f>
        <v/>
      </c>
      <c r="J878">
        <f>C878-I878</f>
        <v/>
      </c>
    </row>
    <row r="879">
      <c r="I879">
        <f>F879+G879</f>
        <v/>
      </c>
      <c r="J879">
        <f>C879-I879</f>
        <v/>
      </c>
    </row>
    <row r="880">
      <c r="I880">
        <f>F880+G880</f>
        <v/>
      </c>
      <c r="J880">
        <f>C880-I880</f>
        <v/>
      </c>
    </row>
    <row r="881">
      <c r="I881">
        <f>F881+G881</f>
        <v/>
      </c>
      <c r="J881">
        <f>C881-I881</f>
        <v/>
      </c>
    </row>
    <row r="882">
      <c r="I882">
        <f>F882+G882</f>
        <v/>
      </c>
      <c r="J882">
        <f>C882-I882</f>
        <v/>
      </c>
    </row>
    <row r="883">
      <c r="I883">
        <f>F883+G883</f>
        <v/>
      </c>
      <c r="J883">
        <f>C883-I883</f>
        <v/>
      </c>
    </row>
    <row r="884">
      <c r="I884">
        <f>F884+G884</f>
        <v/>
      </c>
      <c r="J884">
        <f>C884-I884</f>
        <v/>
      </c>
    </row>
    <row r="885">
      <c r="I885">
        <f>F885+G885</f>
        <v/>
      </c>
      <c r="J885">
        <f>C885-I885</f>
        <v/>
      </c>
    </row>
    <row r="886">
      <c r="I886">
        <f>F886+G886</f>
        <v/>
      </c>
      <c r="J886">
        <f>C886-I886</f>
        <v/>
      </c>
    </row>
    <row r="887">
      <c r="I887">
        <f>F887+G887</f>
        <v/>
      </c>
      <c r="J887">
        <f>C887-I887</f>
        <v/>
      </c>
    </row>
    <row r="888">
      <c r="I888">
        <f>F888+G888</f>
        <v/>
      </c>
      <c r="J888">
        <f>C888-I888</f>
        <v/>
      </c>
    </row>
    <row r="889">
      <c r="I889">
        <f>F889+G889</f>
        <v/>
      </c>
      <c r="J889">
        <f>C889-I889</f>
        <v/>
      </c>
    </row>
    <row r="890">
      <c r="I890">
        <f>F890+G890</f>
        <v/>
      </c>
      <c r="J890">
        <f>C890-I890</f>
        <v/>
      </c>
    </row>
    <row r="891">
      <c r="I891">
        <f>F891+G891</f>
        <v/>
      </c>
      <c r="J891">
        <f>C891-I891</f>
        <v/>
      </c>
    </row>
    <row r="892">
      <c r="I892">
        <f>F892+G892</f>
        <v/>
      </c>
      <c r="J892">
        <f>C892-I892</f>
        <v/>
      </c>
    </row>
    <row r="893">
      <c r="I893">
        <f>F893+G893</f>
        <v/>
      </c>
      <c r="J893">
        <f>C893-I893</f>
        <v/>
      </c>
    </row>
    <row r="894">
      <c r="I894">
        <f>F894+G894</f>
        <v/>
      </c>
      <c r="J894">
        <f>C894-I894</f>
        <v/>
      </c>
    </row>
    <row r="895">
      <c r="I895">
        <f>F895+G895</f>
        <v/>
      </c>
      <c r="J895">
        <f>C895-I895</f>
        <v/>
      </c>
    </row>
    <row r="896">
      <c r="I896">
        <f>F896+G896</f>
        <v/>
      </c>
      <c r="J896">
        <f>C896-I896</f>
        <v/>
      </c>
    </row>
    <row r="897">
      <c r="I897">
        <f>F897+G897</f>
        <v/>
      </c>
      <c r="J897">
        <f>C897-I897</f>
        <v/>
      </c>
    </row>
    <row r="898">
      <c r="I898">
        <f>F898+G898</f>
        <v/>
      </c>
      <c r="J898">
        <f>C898-I898</f>
        <v/>
      </c>
    </row>
    <row r="899">
      <c r="I899">
        <f>F899+G899</f>
        <v/>
      </c>
      <c r="J899">
        <f>C899-I899</f>
        <v/>
      </c>
    </row>
    <row r="900">
      <c r="I900">
        <f>F900+G900</f>
        <v/>
      </c>
      <c r="J900">
        <f>C900-I900</f>
        <v/>
      </c>
    </row>
    <row r="901">
      <c r="I901">
        <f>F901+G901</f>
        <v/>
      </c>
      <c r="J901">
        <f>C901-I901</f>
        <v/>
      </c>
    </row>
    <row r="902">
      <c r="I902">
        <f>F902+G902</f>
        <v/>
      </c>
      <c r="J902">
        <f>C902-I902</f>
        <v/>
      </c>
    </row>
    <row r="903">
      <c r="I903">
        <f>F903+G903</f>
        <v/>
      </c>
      <c r="J903">
        <f>C903-I903</f>
        <v/>
      </c>
    </row>
    <row r="904">
      <c r="I904">
        <f>F904+G904</f>
        <v/>
      </c>
      <c r="J904">
        <f>C904-I904</f>
        <v/>
      </c>
    </row>
    <row r="905">
      <c r="I905">
        <f>F905+G905</f>
        <v/>
      </c>
      <c r="J905">
        <f>C905-I905</f>
        <v/>
      </c>
    </row>
    <row r="906">
      <c r="I906">
        <f>F906+G906</f>
        <v/>
      </c>
      <c r="J906">
        <f>C906-I906</f>
        <v/>
      </c>
    </row>
    <row r="907">
      <c r="I907">
        <f>F907+G907</f>
        <v/>
      </c>
      <c r="J907">
        <f>C907-I907</f>
        <v/>
      </c>
    </row>
    <row r="908">
      <c r="I908">
        <f>F908+G908</f>
        <v/>
      </c>
      <c r="J908">
        <f>C908-I908</f>
        <v/>
      </c>
    </row>
    <row r="909">
      <c r="I909">
        <f>F909+G909</f>
        <v/>
      </c>
      <c r="J909">
        <f>C909-I909</f>
        <v/>
      </c>
    </row>
    <row r="910">
      <c r="I910">
        <f>F910+G910</f>
        <v/>
      </c>
      <c r="J910">
        <f>C910-I910</f>
        <v/>
      </c>
    </row>
    <row r="911">
      <c r="I911">
        <f>F911+G911</f>
        <v/>
      </c>
      <c r="J911">
        <f>C911-I911</f>
        <v/>
      </c>
    </row>
    <row r="912">
      <c r="I912">
        <f>F912+G912</f>
        <v/>
      </c>
      <c r="J912">
        <f>C912-I912</f>
        <v/>
      </c>
    </row>
    <row r="913">
      <c r="I913">
        <f>F913+G913</f>
        <v/>
      </c>
      <c r="J913">
        <f>C913-I913</f>
        <v/>
      </c>
    </row>
    <row r="914">
      <c r="I914">
        <f>F914+G914</f>
        <v/>
      </c>
      <c r="J914">
        <f>C914-I914</f>
        <v/>
      </c>
    </row>
    <row r="915">
      <c r="I915">
        <f>F915+G915</f>
        <v/>
      </c>
      <c r="J915">
        <f>C915-I915</f>
        <v/>
      </c>
    </row>
    <row r="916">
      <c r="I916">
        <f>F916+G916</f>
        <v/>
      </c>
      <c r="J916">
        <f>C916-I916</f>
        <v/>
      </c>
    </row>
    <row r="917">
      <c r="I917">
        <f>F917+G917</f>
        <v/>
      </c>
      <c r="J917">
        <f>C917-I917</f>
        <v/>
      </c>
    </row>
    <row r="918">
      <c r="I918">
        <f>F918+G918</f>
        <v/>
      </c>
      <c r="J918">
        <f>C918-I918</f>
        <v/>
      </c>
    </row>
    <row r="919">
      <c r="I919">
        <f>F919+G919</f>
        <v/>
      </c>
      <c r="J919">
        <f>C919-I919</f>
        <v/>
      </c>
    </row>
    <row r="920">
      <c r="I920">
        <f>F920+G920</f>
        <v/>
      </c>
      <c r="J920">
        <f>C920-I920</f>
        <v/>
      </c>
    </row>
    <row r="921">
      <c r="I921">
        <f>F921+G921</f>
        <v/>
      </c>
      <c r="J921">
        <f>C921-I921</f>
        <v/>
      </c>
    </row>
    <row r="922">
      <c r="I922">
        <f>F922+G922</f>
        <v/>
      </c>
      <c r="J922">
        <f>C922-I922</f>
        <v/>
      </c>
    </row>
    <row r="923">
      <c r="I923">
        <f>F923+G923</f>
        <v/>
      </c>
      <c r="J923">
        <f>C923-I923</f>
        <v/>
      </c>
    </row>
    <row r="924">
      <c r="I924">
        <f>F924+G924</f>
        <v/>
      </c>
      <c r="J924">
        <f>C924-I924</f>
        <v/>
      </c>
    </row>
    <row r="925">
      <c r="I925">
        <f>F925+G925</f>
        <v/>
      </c>
      <c r="J925">
        <f>C925-I925</f>
        <v/>
      </c>
    </row>
    <row r="926">
      <c r="I926">
        <f>F926+G926</f>
        <v/>
      </c>
      <c r="J926">
        <f>C926-I926</f>
        <v/>
      </c>
    </row>
    <row r="927">
      <c r="I927">
        <f>F927+G927</f>
        <v/>
      </c>
      <c r="J927">
        <f>C927-I927</f>
        <v/>
      </c>
    </row>
    <row r="928">
      <c r="I928">
        <f>F928+G928</f>
        <v/>
      </c>
      <c r="J928">
        <f>C928-I928</f>
        <v/>
      </c>
    </row>
    <row r="929">
      <c r="I929">
        <f>F929+G929</f>
        <v/>
      </c>
      <c r="J929">
        <f>C929-I929</f>
        <v/>
      </c>
    </row>
    <row r="930">
      <c r="I930">
        <f>F930+G930</f>
        <v/>
      </c>
      <c r="J930">
        <f>C930-I930</f>
        <v/>
      </c>
    </row>
    <row r="931">
      <c r="I931">
        <f>F931+G931</f>
        <v/>
      </c>
      <c r="J931">
        <f>C931-I931</f>
        <v/>
      </c>
    </row>
    <row r="932">
      <c r="I932">
        <f>F932+G932</f>
        <v/>
      </c>
      <c r="J932">
        <f>C932-I932</f>
        <v/>
      </c>
    </row>
    <row r="933">
      <c r="I933">
        <f>F933+G933</f>
        <v/>
      </c>
      <c r="J933">
        <f>C933-I933</f>
        <v/>
      </c>
    </row>
    <row r="934">
      <c r="I934">
        <f>F934+G934</f>
        <v/>
      </c>
      <c r="J934">
        <f>C934-I934</f>
        <v/>
      </c>
    </row>
    <row r="935">
      <c r="I935">
        <f>F935+G935</f>
        <v/>
      </c>
      <c r="J935">
        <f>C935-I935</f>
        <v/>
      </c>
    </row>
    <row r="936">
      <c r="I936">
        <f>F936+G936</f>
        <v/>
      </c>
      <c r="J936">
        <f>C936-I936</f>
        <v/>
      </c>
    </row>
    <row r="937">
      <c r="I937">
        <f>F937+G937</f>
        <v/>
      </c>
      <c r="J937">
        <f>C937-I937</f>
        <v/>
      </c>
    </row>
    <row r="938">
      <c r="I938">
        <f>F938+G938</f>
        <v/>
      </c>
      <c r="J938">
        <f>C938-I938</f>
        <v/>
      </c>
    </row>
    <row r="939">
      <c r="I939">
        <f>F939+G939</f>
        <v/>
      </c>
      <c r="J939">
        <f>C939-I939</f>
        <v/>
      </c>
    </row>
    <row r="940">
      <c r="I940">
        <f>F940+G940</f>
        <v/>
      </c>
      <c r="J940">
        <f>C940-I940</f>
        <v/>
      </c>
    </row>
    <row r="941">
      <c r="I941">
        <f>F941+G941</f>
        <v/>
      </c>
      <c r="J941">
        <f>C941-I941</f>
        <v/>
      </c>
    </row>
    <row r="942">
      <c r="I942">
        <f>F942+G942</f>
        <v/>
      </c>
      <c r="J942">
        <f>C942-I942</f>
        <v/>
      </c>
    </row>
    <row r="943">
      <c r="I943">
        <f>F943+G943</f>
        <v/>
      </c>
      <c r="J943">
        <f>C943-I943</f>
        <v/>
      </c>
    </row>
    <row r="944">
      <c r="I944">
        <f>F944+G944</f>
        <v/>
      </c>
      <c r="J944">
        <f>C944-I944</f>
        <v/>
      </c>
    </row>
    <row r="945">
      <c r="I945">
        <f>F945+G945</f>
        <v/>
      </c>
      <c r="J945">
        <f>C945-I945</f>
        <v/>
      </c>
    </row>
    <row r="946">
      <c r="I946">
        <f>F946+G946</f>
        <v/>
      </c>
      <c r="J946">
        <f>C946-I946</f>
        <v/>
      </c>
    </row>
    <row r="947">
      <c r="I947">
        <f>F947+G947</f>
        <v/>
      </c>
      <c r="J947">
        <f>C947-I947</f>
        <v/>
      </c>
    </row>
    <row r="948">
      <c r="I948">
        <f>F948+G948</f>
        <v/>
      </c>
      <c r="J948">
        <f>C948-I948</f>
        <v/>
      </c>
    </row>
    <row r="949">
      <c r="I949">
        <f>F949+G949</f>
        <v/>
      </c>
      <c r="J949">
        <f>C949-I949</f>
        <v/>
      </c>
    </row>
    <row r="950">
      <c r="I950">
        <f>F950+G950</f>
        <v/>
      </c>
      <c r="J950">
        <f>C950-I950</f>
        <v/>
      </c>
    </row>
    <row r="951">
      <c r="I951">
        <f>F951+G951</f>
        <v/>
      </c>
      <c r="J951">
        <f>C951-I951</f>
        <v/>
      </c>
    </row>
    <row r="952">
      <c r="I952">
        <f>F952+G952</f>
        <v/>
      </c>
      <c r="J952">
        <f>C952-I952</f>
        <v/>
      </c>
    </row>
    <row r="953">
      <c r="I953">
        <f>F953+G953</f>
        <v/>
      </c>
      <c r="J953">
        <f>C953-I953</f>
        <v/>
      </c>
    </row>
    <row r="954">
      <c r="I954">
        <f>F954+G954</f>
        <v/>
      </c>
      <c r="J954">
        <f>C954-I954</f>
        <v/>
      </c>
    </row>
    <row r="955">
      <c r="I955">
        <f>F955+G955</f>
        <v/>
      </c>
      <c r="J955">
        <f>C955-I955</f>
        <v/>
      </c>
    </row>
    <row r="956">
      <c r="I956">
        <f>F956+G956</f>
        <v/>
      </c>
      <c r="J956">
        <f>C956-I956</f>
        <v/>
      </c>
    </row>
    <row r="957">
      <c r="I957">
        <f>F957+G957</f>
        <v/>
      </c>
      <c r="J957">
        <f>C957-I957</f>
        <v/>
      </c>
    </row>
    <row r="958">
      <c r="I958">
        <f>F958+G958</f>
        <v/>
      </c>
      <c r="J958">
        <f>C958-I958</f>
        <v/>
      </c>
    </row>
    <row r="959">
      <c r="I959">
        <f>F959+G959</f>
        <v/>
      </c>
      <c r="J959">
        <f>C959-I959</f>
        <v/>
      </c>
    </row>
    <row r="960">
      <c r="I960">
        <f>F960+G960</f>
        <v/>
      </c>
      <c r="J960">
        <f>C960-I960</f>
        <v/>
      </c>
    </row>
    <row r="961">
      <c r="I961">
        <f>F961+G961</f>
        <v/>
      </c>
      <c r="J961">
        <f>C961-I961</f>
        <v/>
      </c>
    </row>
    <row r="962">
      <c r="I962">
        <f>F962+G962</f>
        <v/>
      </c>
      <c r="J962">
        <f>C962-I962</f>
        <v/>
      </c>
    </row>
    <row r="963">
      <c r="I963">
        <f>F963+G963</f>
        <v/>
      </c>
      <c r="J963">
        <f>C963-I963</f>
        <v/>
      </c>
    </row>
    <row r="964">
      <c r="I964">
        <f>F964+G964</f>
        <v/>
      </c>
      <c r="J964">
        <f>C964-I964</f>
        <v/>
      </c>
    </row>
    <row r="965">
      <c r="I965">
        <f>F965+G965</f>
        <v/>
      </c>
      <c r="J965">
        <f>C965-I965</f>
        <v/>
      </c>
    </row>
    <row r="966">
      <c r="I966">
        <f>F966+G966</f>
        <v/>
      </c>
      <c r="J966">
        <f>C966-I966</f>
        <v/>
      </c>
    </row>
    <row r="967">
      <c r="I967">
        <f>F967+G967</f>
        <v/>
      </c>
      <c r="J967">
        <f>C967-I967</f>
        <v/>
      </c>
    </row>
    <row r="968">
      <c r="I968">
        <f>F968+G968</f>
        <v/>
      </c>
      <c r="J968">
        <f>C968-I968</f>
        <v/>
      </c>
    </row>
    <row r="969">
      <c r="I969">
        <f>F969+G969</f>
        <v/>
      </c>
      <c r="J969">
        <f>C969-I969</f>
        <v/>
      </c>
    </row>
    <row r="970">
      <c r="I970">
        <f>F970+G970</f>
        <v/>
      </c>
      <c r="J970">
        <f>C970-I970</f>
        <v/>
      </c>
    </row>
    <row r="971">
      <c r="I971">
        <f>F971+G971</f>
        <v/>
      </c>
      <c r="J971">
        <f>C971-I971</f>
        <v/>
      </c>
    </row>
    <row r="972">
      <c r="I972">
        <f>F972+G972</f>
        <v/>
      </c>
      <c r="J972">
        <f>C972-I972</f>
        <v/>
      </c>
    </row>
    <row r="973">
      <c r="I973">
        <f>F973+G973</f>
        <v/>
      </c>
      <c r="J973">
        <f>C973-I973</f>
        <v/>
      </c>
    </row>
    <row r="974">
      <c r="I974">
        <f>F974+G974</f>
        <v/>
      </c>
      <c r="J974">
        <f>C974-I974</f>
        <v/>
      </c>
    </row>
    <row r="975">
      <c r="I975">
        <f>F975+G975</f>
        <v/>
      </c>
      <c r="J975">
        <f>C975-I975</f>
        <v/>
      </c>
    </row>
    <row r="976">
      <c r="I976">
        <f>F976+G976</f>
        <v/>
      </c>
      <c r="J976">
        <f>C976-I976</f>
        <v/>
      </c>
    </row>
    <row r="977">
      <c r="I977">
        <f>F977+G977</f>
        <v/>
      </c>
      <c r="J977">
        <f>C977-I977</f>
        <v/>
      </c>
    </row>
    <row r="978">
      <c r="I978">
        <f>F978+G978</f>
        <v/>
      </c>
      <c r="J978">
        <f>C978-I978</f>
        <v/>
      </c>
    </row>
    <row r="979">
      <c r="I979">
        <f>F979+G979</f>
        <v/>
      </c>
      <c r="J979">
        <f>C979-I979</f>
        <v/>
      </c>
    </row>
    <row r="980">
      <c r="I980">
        <f>F980+G980</f>
        <v/>
      </c>
      <c r="J980">
        <f>C980-I980</f>
        <v/>
      </c>
    </row>
    <row r="981">
      <c r="I981">
        <f>F981+G981</f>
        <v/>
      </c>
      <c r="J981">
        <f>C981-I981</f>
        <v/>
      </c>
    </row>
    <row r="982">
      <c r="I982">
        <f>F982+G982</f>
        <v/>
      </c>
      <c r="J982">
        <f>C982-I982</f>
        <v/>
      </c>
    </row>
    <row r="983">
      <c r="I983">
        <f>F983+G983</f>
        <v/>
      </c>
      <c r="J983">
        <f>C983-I983</f>
        <v/>
      </c>
    </row>
    <row r="984">
      <c r="I984">
        <f>F984+G984</f>
        <v/>
      </c>
      <c r="J984">
        <f>C984-I984</f>
        <v/>
      </c>
    </row>
    <row r="985">
      <c r="I985">
        <f>F985+G985</f>
        <v/>
      </c>
      <c r="J985">
        <f>C985-I985</f>
        <v/>
      </c>
    </row>
    <row r="986">
      <c r="I986">
        <f>F986+G986</f>
        <v/>
      </c>
      <c r="J986">
        <f>C986-I986</f>
        <v/>
      </c>
    </row>
    <row r="987">
      <c r="I987">
        <f>F987+G987</f>
        <v/>
      </c>
      <c r="J987">
        <f>C987-I987</f>
        <v/>
      </c>
    </row>
    <row r="988">
      <c r="I988">
        <f>F988+G988</f>
        <v/>
      </c>
      <c r="J988">
        <f>C988-I988</f>
        <v/>
      </c>
    </row>
    <row r="989">
      <c r="I989">
        <f>F989+G989</f>
        <v/>
      </c>
      <c r="J989">
        <f>C989-I989</f>
        <v/>
      </c>
    </row>
    <row r="990">
      <c r="I990">
        <f>F990+G990</f>
        <v/>
      </c>
      <c r="J990">
        <f>C990-I990</f>
        <v/>
      </c>
    </row>
    <row r="991">
      <c r="I991">
        <f>F991+G991</f>
        <v/>
      </c>
      <c r="J991">
        <f>C991-I991</f>
        <v/>
      </c>
    </row>
    <row r="992">
      <c r="I992">
        <f>F992+G992</f>
        <v/>
      </c>
      <c r="J992">
        <f>C992-I992</f>
        <v/>
      </c>
    </row>
    <row r="993">
      <c r="I993">
        <f>F993+G993</f>
        <v/>
      </c>
      <c r="J993">
        <f>C993-I993</f>
        <v/>
      </c>
    </row>
    <row r="994">
      <c r="I994">
        <f>F994+G994</f>
        <v/>
      </c>
      <c r="J994">
        <f>C994-I994</f>
        <v/>
      </c>
    </row>
    <row r="995">
      <c r="I995">
        <f>F995+G995</f>
        <v/>
      </c>
      <c r="J995">
        <f>C995-I995</f>
        <v/>
      </c>
    </row>
    <row r="996">
      <c r="I996">
        <f>F996+G996</f>
        <v/>
      </c>
      <c r="J996">
        <f>C996-I996</f>
        <v/>
      </c>
    </row>
    <row r="997">
      <c r="I997">
        <f>F997+G997</f>
        <v/>
      </c>
      <c r="J997">
        <f>C997-I997</f>
        <v/>
      </c>
    </row>
    <row r="998">
      <c r="I998">
        <f>F998+G998</f>
        <v/>
      </c>
      <c r="J998">
        <f>C998-I998</f>
        <v/>
      </c>
    </row>
    <row r="999">
      <c r="I999">
        <f>F999+G999</f>
        <v/>
      </c>
      <c r="J999">
        <f>C999-I999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Salary Amount</t>
        </is>
      </c>
      <c r="C1" t="inlineStr">
        <is>
          <t>Paid Date</t>
        </is>
      </c>
      <c r="D1" t="inlineStr">
        <is>
          <t>Mode</t>
        </is>
      </c>
      <c r="E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Loads</t>
        </is>
      </c>
      <c r="B2">
        <f>SUMPRODUCT((MONTH(Daily_Entry!A2:A999)=1)*(Daily_Entry!B2:B999))</f>
        <v/>
      </c>
    </row>
    <row r="3">
      <c r="A3" t="inlineStr">
        <is>
          <t>Total Income</t>
        </is>
      </c>
      <c r="B3">
        <f>SUMPRODUCT((MONTH(Daily_Entry!A2:A999)=1)*(Daily_Entry!C2:C999))</f>
        <v/>
      </c>
    </row>
    <row r="4">
      <c r="A4" t="inlineStr">
        <is>
          <t>Total GPay</t>
        </is>
      </c>
      <c r="B4">
        <f>SUMPRODUCT((MONTH(Daily_Entry!A2:A999)=1)*(Daily_Entry!D2:D999))</f>
        <v/>
      </c>
    </row>
    <row r="5">
      <c r="A5" t="inlineStr">
        <is>
          <t>Total Cash</t>
        </is>
      </c>
      <c r="B5">
        <f>SUMPRODUCT((MONTH(Daily_Entry!A2:A999)=1)*(Daily_Entry!E2:E999))</f>
        <v/>
      </c>
    </row>
    <row r="6">
      <c r="A6" t="inlineStr">
        <is>
          <t>Diesel Expense</t>
        </is>
      </c>
      <c r="B6">
        <f>SUMPRODUCT((MONTH(Daily_Entry!A2:A999)=1)*(Daily_Entry!F2:F999))</f>
        <v/>
      </c>
    </row>
    <row r="7">
      <c r="A7" t="inlineStr">
        <is>
          <t>Other Expenses</t>
        </is>
      </c>
      <c r="B7">
        <f>SUMPRODUCT((MONTH(Daily_Entry!A2:A999)=1)*(Daily_Entry!G2:G999))</f>
        <v/>
      </c>
    </row>
    <row r="8">
      <c r="A8" t="inlineStr">
        <is>
          <t>Driver Salary</t>
        </is>
      </c>
      <c r="B8">
        <f>SUMIF(Driver_Salary!A:A,"Jan",Driver_Salary!B:B)</f>
        <v/>
      </c>
    </row>
    <row r="9">
      <c r="A9" t="inlineStr">
        <is>
          <t>Total Expenses</t>
        </is>
      </c>
      <c r="B9">
        <f>B6+B7+B8</f>
        <v/>
      </c>
    </row>
    <row r="10">
      <c r="A10" t="inlineStr">
        <is>
          <t>Net Profit</t>
        </is>
      </c>
      <c r="B10">
        <f>B3-B9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Loads</t>
        </is>
      </c>
      <c r="B2">
        <f>SUMPRODUCT((MONTH(Daily_Entry!A2:A999)=2)*(Daily_Entry!B2:B999))</f>
        <v/>
      </c>
    </row>
    <row r="3">
      <c r="A3" t="inlineStr">
        <is>
          <t>Total Income</t>
        </is>
      </c>
      <c r="B3">
        <f>SUMPRODUCT((MONTH(Daily_Entry!A2:A999)=2)*(Daily_Entry!C2:C999))</f>
        <v/>
      </c>
    </row>
    <row r="4">
      <c r="A4" t="inlineStr">
        <is>
          <t>Total GPay</t>
        </is>
      </c>
      <c r="B4">
        <f>SUMPRODUCT((MONTH(Daily_Entry!A2:A999)=2)*(Daily_Entry!D2:D999))</f>
        <v/>
      </c>
    </row>
    <row r="5">
      <c r="A5" t="inlineStr">
        <is>
          <t>Total Cash</t>
        </is>
      </c>
      <c r="B5">
        <f>SUMPRODUCT((MONTH(Daily_Entry!A2:A999)=2)*(Daily_Entry!E2:E999))</f>
        <v/>
      </c>
    </row>
    <row r="6">
      <c r="A6" t="inlineStr">
        <is>
          <t>Diesel Expense</t>
        </is>
      </c>
      <c r="B6">
        <f>SUMPRODUCT((MONTH(Daily_Entry!A2:A999)=2)*(Daily_Entry!F2:F999))</f>
        <v/>
      </c>
    </row>
    <row r="7">
      <c r="A7" t="inlineStr">
        <is>
          <t>Other Expenses</t>
        </is>
      </c>
      <c r="B7">
        <f>SUMPRODUCT((MONTH(Daily_Entry!A2:A999)=2)*(Daily_Entry!G2:G999))</f>
        <v/>
      </c>
    </row>
    <row r="8">
      <c r="A8" t="inlineStr">
        <is>
          <t>Driver Salary</t>
        </is>
      </c>
      <c r="B8">
        <f>SUMIF(Driver_Salary!A:A,"Feb",Driver_Salary!B:B)</f>
        <v/>
      </c>
    </row>
    <row r="9">
      <c r="A9" t="inlineStr">
        <is>
          <t>Total Expenses</t>
        </is>
      </c>
      <c r="B9">
        <f>B6+B7+B8</f>
        <v/>
      </c>
    </row>
    <row r="10">
      <c r="A10" t="inlineStr">
        <is>
          <t>Net Profit</t>
        </is>
      </c>
      <c r="B10">
        <f>B3-B9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Loads</t>
        </is>
      </c>
      <c r="B2">
        <f>SUMPRODUCT((MONTH(Daily_Entry!A2:A999)=3)*(Daily_Entry!B2:B999))</f>
        <v/>
      </c>
    </row>
    <row r="3">
      <c r="A3" t="inlineStr">
        <is>
          <t>Total Income</t>
        </is>
      </c>
      <c r="B3">
        <f>SUMPRODUCT((MONTH(Daily_Entry!A2:A999)=3)*(Daily_Entry!C2:C999))</f>
        <v/>
      </c>
    </row>
    <row r="4">
      <c r="A4" t="inlineStr">
        <is>
          <t>Total GPay</t>
        </is>
      </c>
      <c r="B4">
        <f>SUMPRODUCT((MONTH(Daily_Entry!A2:A999)=3)*(Daily_Entry!D2:D999))</f>
        <v/>
      </c>
    </row>
    <row r="5">
      <c r="A5" t="inlineStr">
        <is>
          <t>Total Cash</t>
        </is>
      </c>
      <c r="B5">
        <f>SUMPRODUCT((MONTH(Daily_Entry!A2:A999)=3)*(Daily_Entry!E2:E999))</f>
        <v/>
      </c>
    </row>
    <row r="6">
      <c r="A6" t="inlineStr">
        <is>
          <t>Diesel Expense</t>
        </is>
      </c>
      <c r="B6">
        <f>SUMPRODUCT((MONTH(Daily_Entry!A2:A999)=3)*(Daily_Entry!F2:F999))</f>
        <v/>
      </c>
    </row>
    <row r="7">
      <c r="A7" t="inlineStr">
        <is>
          <t>Other Expenses</t>
        </is>
      </c>
      <c r="B7">
        <f>SUMPRODUCT((MONTH(Daily_Entry!A2:A999)=3)*(Daily_Entry!G2:G999))</f>
        <v/>
      </c>
    </row>
    <row r="8">
      <c r="A8" t="inlineStr">
        <is>
          <t>Driver Salary</t>
        </is>
      </c>
      <c r="B8">
        <f>SUMIF(Driver_Salary!A:A,"Mar",Driver_Salary!B:B)</f>
        <v/>
      </c>
    </row>
    <row r="9">
      <c r="A9" t="inlineStr">
        <is>
          <t>Total Expenses</t>
        </is>
      </c>
      <c r="B9">
        <f>B6+B7+B8</f>
        <v/>
      </c>
    </row>
    <row r="10">
      <c r="A10" t="inlineStr">
        <is>
          <t>Net Profit</t>
        </is>
      </c>
      <c r="B10">
        <f>B3-B9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Loads</t>
        </is>
      </c>
      <c r="B2">
        <f>SUMPRODUCT((MONTH(Daily_Entry!A2:A999)=4)*(Daily_Entry!B2:B999))</f>
        <v/>
      </c>
    </row>
    <row r="3">
      <c r="A3" t="inlineStr">
        <is>
          <t>Total Income</t>
        </is>
      </c>
      <c r="B3">
        <f>SUMPRODUCT((MONTH(Daily_Entry!A2:A999)=4)*(Daily_Entry!C2:C999))</f>
        <v/>
      </c>
    </row>
    <row r="4">
      <c r="A4" t="inlineStr">
        <is>
          <t>Total GPay</t>
        </is>
      </c>
      <c r="B4">
        <f>SUMPRODUCT((MONTH(Daily_Entry!A2:A999)=4)*(Daily_Entry!D2:D999))</f>
        <v/>
      </c>
    </row>
    <row r="5">
      <c r="A5" t="inlineStr">
        <is>
          <t>Total Cash</t>
        </is>
      </c>
      <c r="B5">
        <f>SUMPRODUCT((MONTH(Daily_Entry!A2:A999)=4)*(Daily_Entry!E2:E999))</f>
        <v/>
      </c>
    </row>
    <row r="6">
      <c r="A6" t="inlineStr">
        <is>
          <t>Diesel Expense</t>
        </is>
      </c>
      <c r="B6">
        <f>SUMPRODUCT((MONTH(Daily_Entry!A2:A999)=4)*(Daily_Entry!F2:F999))</f>
        <v/>
      </c>
    </row>
    <row r="7">
      <c r="A7" t="inlineStr">
        <is>
          <t>Other Expenses</t>
        </is>
      </c>
      <c r="B7">
        <f>SUMPRODUCT((MONTH(Daily_Entry!A2:A999)=4)*(Daily_Entry!G2:G999))</f>
        <v/>
      </c>
    </row>
    <row r="8">
      <c r="A8" t="inlineStr">
        <is>
          <t>Driver Salary</t>
        </is>
      </c>
      <c r="B8">
        <f>SUMIF(Driver_Salary!A:A,"Apr",Driver_Salary!B:B)</f>
        <v/>
      </c>
    </row>
    <row r="9">
      <c r="A9" t="inlineStr">
        <is>
          <t>Total Expenses</t>
        </is>
      </c>
      <c r="B9">
        <f>B6+B7+B8</f>
        <v/>
      </c>
    </row>
    <row r="10">
      <c r="A10" t="inlineStr">
        <is>
          <t>Net Profit</t>
        </is>
      </c>
      <c r="B10">
        <f>B3-B9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Loads</t>
        </is>
      </c>
      <c r="B2">
        <f>SUMPRODUCT((MONTH(Daily_Entry!A2:A999)=5)*(Daily_Entry!B2:B999))</f>
        <v/>
      </c>
    </row>
    <row r="3">
      <c r="A3" t="inlineStr">
        <is>
          <t>Total Income</t>
        </is>
      </c>
      <c r="B3">
        <f>SUMPRODUCT((MONTH(Daily_Entry!A2:A999)=5)*(Daily_Entry!C2:C999))</f>
        <v/>
      </c>
    </row>
    <row r="4">
      <c r="A4" t="inlineStr">
        <is>
          <t>Total GPay</t>
        </is>
      </c>
      <c r="B4">
        <f>SUMPRODUCT((MONTH(Daily_Entry!A2:A999)=5)*(Daily_Entry!D2:D999))</f>
        <v/>
      </c>
    </row>
    <row r="5">
      <c r="A5" t="inlineStr">
        <is>
          <t>Total Cash</t>
        </is>
      </c>
      <c r="B5">
        <f>SUMPRODUCT((MONTH(Daily_Entry!A2:A999)=5)*(Daily_Entry!E2:E999))</f>
        <v/>
      </c>
    </row>
    <row r="6">
      <c r="A6" t="inlineStr">
        <is>
          <t>Diesel Expense</t>
        </is>
      </c>
      <c r="B6">
        <f>SUMPRODUCT((MONTH(Daily_Entry!A2:A999)=5)*(Daily_Entry!F2:F999))</f>
        <v/>
      </c>
    </row>
    <row r="7">
      <c r="A7" t="inlineStr">
        <is>
          <t>Other Expenses</t>
        </is>
      </c>
      <c r="B7">
        <f>SUMPRODUCT((MONTH(Daily_Entry!A2:A999)=5)*(Daily_Entry!G2:G999))</f>
        <v/>
      </c>
    </row>
    <row r="8">
      <c r="A8" t="inlineStr">
        <is>
          <t>Driver Salary</t>
        </is>
      </c>
      <c r="B8">
        <f>SUMIF(Driver_Salary!A:A,"May",Driver_Salary!B:B)</f>
        <v/>
      </c>
    </row>
    <row r="9">
      <c r="A9" t="inlineStr">
        <is>
          <t>Total Expenses</t>
        </is>
      </c>
      <c r="B9">
        <f>B6+B7+B8</f>
        <v/>
      </c>
    </row>
    <row r="10">
      <c r="A10" t="inlineStr">
        <is>
          <t>Net Profit</t>
        </is>
      </c>
      <c r="B10">
        <f>B3-B9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Loads</t>
        </is>
      </c>
      <c r="B2">
        <f>SUMPRODUCT((MONTH(Daily_Entry!A2:A999)=6)*(Daily_Entry!B2:B999))</f>
        <v/>
      </c>
    </row>
    <row r="3">
      <c r="A3" t="inlineStr">
        <is>
          <t>Total Income</t>
        </is>
      </c>
      <c r="B3">
        <f>SUMPRODUCT((MONTH(Daily_Entry!A2:A999)=6)*(Daily_Entry!C2:C999))</f>
        <v/>
      </c>
    </row>
    <row r="4">
      <c r="A4" t="inlineStr">
        <is>
          <t>Total GPay</t>
        </is>
      </c>
      <c r="B4">
        <f>SUMPRODUCT((MONTH(Daily_Entry!A2:A999)=6)*(Daily_Entry!D2:D999))</f>
        <v/>
      </c>
    </row>
    <row r="5">
      <c r="A5" t="inlineStr">
        <is>
          <t>Total Cash</t>
        </is>
      </c>
      <c r="B5">
        <f>SUMPRODUCT((MONTH(Daily_Entry!A2:A999)=6)*(Daily_Entry!E2:E999))</f>
        <v/>
      </c>
    </row>
    <row r="6">
      <c r="A6" t="inlineStr">
        <is>
          <t>Diesel Expense</t>
        </is>
      </c>
      <c r="B6">
        <f>SUMPRODUCT((MONTH(Daily_Entry!A2:A999)=6)*(Daily_Entry!F2:F999))</f>
        <v/>
      </c>
    </row>
    <row r="7">
      <c r="A7" t="inlineStr">
        <is>
          <t>Other Expenses</t>
        </is>
      </c>
      <c r="B7">
        <f>SUMPRODUCT((MONTH(Daily_Entry!A2:A999)=6)*(Daily_Entry!G2:G999))</f>
        <v/>
      </c>
    </row>
    <row r="8">
      <c r="A8" t="inlineStr">
        <is>
          <t>Driver Salary</t>
        </is>
      </c>
      <c r="B8">
        <f>SUMIF(Driver_Salary!A:A,"Jun",Driver_Salary!B:B)</f>
        <v/>
      </c>
    </row>
    <row r="9">
      <c r="A9" t="inlineStr">
        <is>
          <t>Total Expenses</t>
        </is>
      </c>
      <c r="B9">
        <f>B6+B7+B8</f>
        <v/>
      </c>
    </row>
    <row r="10">
      <c r="A10" t="inlineStr">
        <is>
          <t>Net Profit</t>
        </is>
      </c>
      <c r="B10">
        <f>B3-B9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Loads</t>
        </is>
      </c>
      <c r="B2">
        <f>SUMPRODUCT((MONTH(Daily_Entry!A2:A999)=7)*(Daily_Entry!B2:B999))</f>
        <v/>
      </c>
    </row>
    <row r="3">
      <c r="A3" t="inlineStr">
        <is>
          <t>Total Income</t>
        </is>
      </c>
      <c r="B3">
        <f>SUMPRODUCT((MONTH(Daily_Entry!A2:A999)=7)*(Daily_Entry!C2:C999))</f>
        <v/>
      </c>
    </row>
    <row r="4">
      <c r="A4" t="inlineStr">
        <is>
          <t>Total GPay</t>
        </is>
      </c>
      <c r="B4">
        <f>SUMPRODUCT((MONTH(Daily_Entry!A2:A999)=7)*(Daily_Entry!D2:D999))</f>
        <v/>
      </c>
    </row>
    <row r="5">
      <c r="A5" t="inlineStr">
        <is>
          <t>Total Cash</t>
        </is>
      </c>
      <c r="B5">
        <f>SUMPRODUCT((MONTH(Daily_Entry!A2:A999)=7)*(Daily_Entry!E2:E999))</f>
        <v/>
      </c>
    </row>
    <row r="6">
      <c r="A6" t="inlineStr">
        <is>
          <t>Diesel Expense</t>
        </is>
      </c>
      <c r="B6">
        <f>SUMPRODUCT((MONTH(Daily_Entry!A2:A999)=7)*(Daily_Entry!F2:F999))</f>
        <v/>
      </c>
    </row>
    <row r="7">
      <c r="A7" t="inlineStr">
        <is>
          <t>Other Expenses</t>
        </is>
      </c>
      <c r="B7">
        <f>SUMPRODUCT((MONTH(Daily_Entry!A2:A999)=7)*(Daily_Entry!G2:G999))</f>
        <v/>
      </c>
    </row>
    <row r="8">
      <c r="A8" t="inlineStr">
        <is>
          <t>Driver Salary</t>
        </is>
      </c>
      <c r="B8">
        <f>SUMIF(Driver_Salary!A:A,"Jul",Driver_Salary!B:B)</f>
        <v/>
      </c>
    </row>
    <row r="9">
      <c r="A9" t="inlineStr">
        <is>
          <t>Total Expenses</t>
        </is>
      </c>
      <c r="B9">
        <f>B6+B7+B8</f>
        <v/>
      </c>
    </row>
    <row r="10">
      <c r="A10" t="inlineStr">
        <is>
          <t>Net Profit</t>
        </is>
      </c>
      <c r="B10">
        <f>B3-B9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Loads</t>
        </is>
      </c>
      <c r="B2">
        <f>SUMPRODUCT((MONTH(Daily_Entry!A2:A999)=8)*(Daily_Entry!B2:B999))</f>
        <v/>
      </c>
    </row>
    <row r="3">
      <c r="A3" t="inlineStr">
        <is>
          <t>Total Income</t>
        </is>
      </c>
      <c r="B3">
        <f>SUMPRODUCT((MONTH(Daily_Entry!A2:A999)=8)*(Daily_Entry!C2:C999))</f>
        <v/>
      </c>
    </row>
    <row r="4">
      <c r="A4" t="inlineStr">
        <is>
          <t>Total GPay</t>
        </is>
      </c>
      <c r="B4">
        <f>SUMPRODUCT((MONTH(Daily_Entry!A2:A999)=8)*(Daily_Entry!D2:D999))</f>
        <v/>
      </c>
    </row>
    <row r="5">
      <c r="A5" t="inlineStr">
        <is>
          <t>Total Cash</t>
        </is>
      </c>
      <c r="B5">
        <f>SUMPRODUCT((MONTH(Daily_Entry!A2:A999)=8)*(Daily_Entry!E2:E999))</f>
        <v/>
      </c>
    </row>
    <row r="6">
      <c r="A6" t="inlineStr">
        <is>
          <t>Diesel Expense</t>
        </is>
      </c>
      <c r="B6">
        <f>SUMPRODUCT((MONTH(Daily_Entry!A2:A999)=8)*(Daily_Entry!F2:F999))</f>
        <v/>
      </c>
    </row>
    <row r="7">
      <c r="A7" t="inlineStr">
        <is>
          <t>Other Expenses</t>
        </is>
      </c>
      <c r="B7">
        <f>SUMPRODUCT((MONTH(Daily_Entry!A2:A999)=8)*(Daily_Entry!G2:G999))</f>
        <v/>
      </c>
    </row>
    <row r="8">
      <c r="A8" t="inlineStr">
        <is>
          <t>Driver Salary</t>
        </is>
      </c>
      <c r="B8">
        <f>SUMIF(Driver_Salary!A:A,"Aug",Driver_Salary!B:B)</f>
        <v/>
      </c>
    </row>
    <row r="9">
      <c r="A9" t="inlineStr">
        <is>
          <t>Total Expenses</t>
        </is>
      </c>
      <c r="B9">
        <f>B6+B7+B8</f>
        <v/>
      </c>
    </row>
    <row r="10">
      <c r="A10" t="inlineStr">
        <is>
          <t>Net Profit</t>
        </is>
      </c>
      <c r="B10">
        <f>B3-B9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Loads</t>
        </is>
      </c>
      <c r="B2">
        <f>SUMPRODUCT((MONTH(Daily_Entry!A2:A999)=9)*(Daily_Entry!B2:B999))</f>
        <v/>
      </c>
    </row>
    <row r="3">
      <c r="A3" t="inlineStr">
        <is>
          <t>Total Income</t>
        </is>
      </c>
      <c r="B3">
        <f>SUMPRODUCT((MONTH(Daily_Entry!A2:A999)=9)*(Daily_Entry!C2:C999))</f>
        <v/>
      </c>
    </row>
    <row r="4">
      <c r="A4" t="inlineStr">
        <is>
          <t>Total GPay</t>
        </is>
      </c>
      <c r="B4">
        <f>SUMPRODUCT((MONTH(Daily_Entry!A2:A999)=9)*(Daily_Entry!D2:D999))</f>
        <v/>
      </c>
    </row>
    <row r="5">
      <c r="A5" t="inlineStr">
        <is>
          <t>Total Cash</t>
        </is>
      </c>
      <c r="B5">
        <f>SUMPRODUCT((MONTH(Daily_Entry!A2:A999)=9)*(Daily_Entry!E2:E999))</f>
        <v/>
      </c>
    </row>
    <row r="6">
      <c r="A6" t="inlineStr">
        <is>
          <t>Diesel Expense</t>
        </is>
      </c>
      <c r="B6">
        <f>SUMPRODUCT((MONTH(Daily_Entry!A2:A999)=9)*(Daily_Entry!F2:F999))</f>
        <v/>
      </c>
    </row>
    <row r="7">
      <c r="A7" t="inlineStr">
        <is>
          <t>Other Expenses</t>
        </is>
      </c>
      <c r="B7">
        <f>SUMPRODUCT((MONTH(Daily_Entry!A2:A999)=9)*(Daily_Entry!G2:G999))</f>
        <v/>
      </c>
    </row>
    <row r="8">
      <c r="A8" t="inlineStr">
        <is>
          <t>Driver Salary</t>
        </is>
      </c>
      <c r="B8">
        <f>SUMIF(Driver_Salary!A:A,"Sep",Driver_Salary!B:B)</f>
        <v/>
      </c>
    </row>
    <row r="9">
      <c r="A9" t="inlineStr">
        <is>
          <t>Total Expenses</t>
        </is>
      </c>
      <c r="B9">
        <f>B6+B7+B8</f>
        <v/>
      </c>
    </row>
    <row r="10">
      <c r="A10" t="inlineStr">
        <is>
          <t>Net Profit</t>
        </is>
      </c>
      <c r="B10">
        <f>B3-B9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Loads</t>
        </is>
      </c>
      <c r="B2">
        <f>SUMPRODUCT((MONTH(Daily_Entry!A2:A999)=10)*(Daily_Entry!B2:B999))</f>
        <v/>
      </c>
    </row>
    <row r="3">
      <c r="A3" t="inlineStr">
        <is>
          <t>Total Income</t>
        </is>
      </c>
      <c r="B3">
        <f>SUMPRODUCT((MONTH(Daily_Entry!A2:A999)=10)*(Daily_Entry!C2:C999))</f>
        <v/>
      </c>
    </row>
    <row r="4">
      <c r="A4" t="inlineStr">
        <is>
          <t>Total GPay</t>
        </is>
      </c>
      <c r="B4">
        <f>SUMPRODUCT((MONTH(Daily_Entry!A2:A999)=10)*(Daily_Entry!D2:D999))</f>
        <v/>
      </c>
    </row>
    <row r="5">
      <c r="A5" t="inlineStr">
        <is>
          <t>Total Cash</t>
        </is>
      </c>
      <c r="B5">
        <f>SUMPRODUCT((MONTH(Daily_Entry!A2:A999)=10)*(Daily_Entry!E2:E999))</f>
        <v/>
      </c>
    </row>
    <row r="6">
      <c r="A6" t="inlineStr">
        <is>
          <t>Diesel Expense</t>
        </is>
      </c>
      <c r="B6">
        <f>SUMPRODUCT((MONTH(Daily_Entry!A2:A999)=10)*(Daily_Entry!F2:F999))</f>
        <v/>
      </c>
    </row>
    <row r="7">
      <c r="A7" t="inlineStr">
        <is>
          <t>Other Expenses</t>
        </is>
      </c>
      <c r="B7">
        <f>SUMPRODUCT((MONTH(Daily_Entry!A2:A999)=10)*(Daily_Entry!G2:G999))</f>
        <v/>
      </c>
    </row>
    <row r="8">
      <c r="A8" t="inlineStr">
        <is>
          <t>Driver Salary</t>
        </is>
      </c>
      <c r="B8">
        <f>SUMIF(Driver_Salary!A:A,"Oct",Driver_Salary!B:B)</f>
        <v/>
      </c>
    </row>
    <row r="9">
      <c r="A9" t="inlineStr">
        <is>
          <t>Total Expenses</t>
        </is>
      </c>
      <c r="B9">
        <f>B6+B7+B8</f>
        <v/>
      </c>
    </row>
    <row r="10">
      <c r="A10" t="inlineStr">
        <is>
          <t>Net Profit</t>
        </is>
      </c>
      <c r="B10">
        <f>B3-B9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Loads</t>
        </is>
      </c>
      <c r="B2">
        <f>SUMPRODUCT((MONTH(Daily_Entry!A2:A999)=11)*(Daily_Entry!B2:B999))</f>
        <v/>
      </c>
    </row>
    <row r="3">
      <c r="A3" t="inlineStr">
        <is>
          <t>Total Income</t>
        </is>
      </c>
      <c r="B3">
        <f>SUMPRODUCT((MONTH(Daily_Entry!A2:A999)=11)*(Daily_Entry!C2:C999))</f>
        <v/>
      </c>
    </row>
    <row r="4">
      <c r="A4" t="inlineStr">
        <is>
          <t>Total GPay</t>
        </is>
      </c>
      <c r="B4">
        <f>SUMPRODUCT((MONTH(Daily_Entry!A2:A999)=11)*(Daily_Entry!D2:D999))</f>
        <v/>
      </c>
    </row>
    <row r="5">
      <c r="A5" t="inlineStr">
        <is>
          <t>Total Cash</t>
        </is>
      </c>
      <c r="B5">
        <f>SUMPRODUCT((MONTH(Daily_Entry!A2:A999)=11)*(Daily_Entry!E2:E999))</f>
        <v/>
      </c>
    </row>
    <row r="6">
      <c r="A6" t="inlineStr">
        <is>
          <t>Diesel Expense</t>
        </is>
      </c>
      <c r="B6">
        <f>SUMPRODUCT((MONTH(Daily_Entry!A2:A999)=11)*(Daily_Entry!F2:F999))</f>
        <v/>
      </c>
    </row>
    <row r="7">
      <c r="A7" t="inlineStr">
        <is>
          <t>Other Expenses</t>
        </is>
      </c>
      <c r="B7">
        <f>SUMPRODUCT((MONTH(Daily_Entry!A2:A999)=11)*(Daily_Entry!G2:G999))</f>
        <v/>
      </c>
    </row>
    <row r="8">
      <c r="A8" t="inlineStr">
        <is>
          <t>Driver Salary</t>
        </is>
      </c>
      <c r="B8">
        <f>SUMIF(Driver_Salary!A:A,"Nov",Driver_Salary!B:B)</f>
        <v/>
      </c>
    </row>
    <row r="9">
      <c r="A9" t="inlineStr">
        <is>
          <t>Total Expenses</t>
        </is>
      </c>
      <c r="B9">
        <f>B6+B7+B8</f>
        <v/>
      </c>
    </row>
    <row r="10">
      <c r="A10" t="inlineStr">
        <is>
          <t>Net Profit</t>
        </is>
      </c>
      <c r="B10">
        <f>B3-B9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Loads</t>
        </is>
      </c>
      <c r="B2">
        <f>SUMPRODUCT((MONTH(Daily_Entry!A2:A999)=12)*(Daily_Entry!B2:B999))</f>
        <v/>
      </c>
    </row>
    <row r="3">
      <c r="A3" t="inlineStr">
        <is>
          <t>Total Income</t>
        </is>
      </c>
      <c r="B3">
        <f>SUMPRODUCT((MONTH(Daily_Entry!A2:A999)=12)*(Daily_Entry!C2:C999))</f>
        <v/>
      </c>
    </row>
    <row r="4">
      <c r="A4" t="inlineStr">
        <is>
          <t>Total GPay</t>
        </is>
      </c>
      <c r="B4">
        <f>SUMPRODUCT((MONTH(Daily_Entry!A2:A999)=12)*(Daily_Entry!D2:D999))</f>
        <v/>
      </c>
    </row>
    <row r="5">
      <c r="A5" t="inlineStr">
        <is>
          <t>Total Cash</t>
        </is>
      </c>
      <c r="B5">
        <f>SUMPRODUCT((MONTH(Daily_Entry!A2:A999)=12)*(Daily_Entry!E2:E999))</f>
        <v/>
      </c>
    </row>
    <row r="6">
      <c r="A6" t="inlineStr">
        <is>
          <t>Diesel Expense</t>
        </is>
      </c>
      <c r="B6">
        <f>SUMPRODUCT((MONTH(Daily_Entry!A2:A999)=12)*(Daily_Entry!F2:F999))</f>
        <v/>
      </c>
    </row>
    <row r="7">
      <c r="A7" t="inlineStr">
        <is>
          <t>Other Expenses</t>
        </is>
      </c>
      <c r="B7">
        <f>SUMPRODUCT((MONTH(Daily_Entry!A2:A999)=12)*(Daily_Entry!G2:G999))</f>
        <v/>
      </c>
    </row>
    <row r="8">
      <c r="A8" t="inlineStr">
        <is>
          <t>Driver Salary</t>
        </is>
      </c>
      <c r="B8">
        <f>SUMIF(Driver_Salary!A:A,"Dec",Driver_Salary!B:B)</f>
        <v/>
      </c>
    </row>
    <row r="9">
      <c r="A9" t="inlineStr">
        <is>
          <t>Total Expenses</t>
        </is>
      </c>
      <c r="B9">
        <f>B6+B7+B8</f>
        <v/>
      </c>
    </row>
    <row r="10">
      <c r="A10" t="inlineStr">
        <is>
          <t>Net Profit</t>
        </is>
      </c>
      <c r="B10">
        <f>B3-B9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Income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>
        <f>'Jan'!B3</f>
        <v/>
      </c>
      <c r="C2">
        <f>'Jan'!B9</f>
        <v/>
      </c>
      <c r="D2">
        <f>'Jan'!B10</f>
        <v/>
      </c>
    </row>
    <row r="3">
      <c r="A3" t="inlineStr">
        <is>
          <t>Feb</t>
        </is>
      </c>
      <c r="B3">
        <f>'Feb'!B3</f>
        <v/>
      </c>
      <c r="C3">
        <f>'Feb'!B9</f>
        <v/>
      </c>
      <c r="D3">
        <f>'Feb'!B10</f>
        <v/>
      </c>
    </row>
    <row r="4">
      <c r="A4" t="inlineStr">
        <is>
          <t>Mar</t>
        </is>
      </c>
      <c r="B4">
        <f>'Mar'!B3</f>
        <v/>
      </c>
      <c r="C4">
        <f>'Mar'!B9</f>
        <v/>
      </c>
      <c r="D4">
        <f>'Mar'!B10</f>
        <v/>
      </c>
    </row>
    <row r="5">
      <c r="A5" t="inlineStr">
        <is>
          <t>Apr</t>
        </is>
      </c>
      <c r="B5">
        <f>'Apr'!B3</f>
        <v/>
      </c>
      <c r="C5">
        <f>'Apr'!B9</f>
        <v/>
      </c>
      <c r="D5">
        <f>'Apr'!B10</f>
        <v/>
      </c>
    </row>
    <row r="6">
      <c r="A6" t="inlineStr">
        <is>
          <t>May</t>
        </is>
      </c>
      <c r="B6">
        <f>'May'!B3</f>
        <v/>
      </c>
      <c r="C6">
        <f>'May'!B9</f>
        <v/>
      </c>
      <c r="D6">
        <f>'May'!B10</f>
        <v/>
      </c>
    </row>
    <row r="7">
      <c r="A7" t="inlineStr">
        <is>
          <t>Jun</t>
        </is>
      </c>
      <c r="B7">
        <f>'Jun'!B3</f>
        <v/>
      </c>
      <c r="C7">
        <f>'Jun'!B9</f>
        <v/>
      </c>
      <c r="D7">
        <f>'Jun'!B10</f>
        <v/>
      </c>
    </row>
    <row r="8">
      <c r="A8" t="inlineStr">
        <is>
          <t>Jul</t>
        </is>
      </c>
      <c r="B8">
        <f>'Jul'!B3</f>
        <v/>
      </c>
      <c r="C8">
        <f>'Jul'!B9</f>
        <v/>
      </c>
      <c r="D8">
        <f>'Jul'!B10</f>
        <v/>
      </c>
    </row>
    <row r="9">
      <c r="A9" t="inlineStr">
        <is>
          <t>Aug</t>
        </is>
      </c>
      <c r="B9">
        <f>'Aug'!B3</f>
        <v/>
      </c>
      <c r="C9">
        <f>'Aug'!B9</f>
        <v/>
      </c>
      <c r="D9">
        <f>'Aug'!B10</f>
        <v/>
      </c>
    </row>
    <row r="10">
      <c r="A10" t="inlineStr">
        <is>
          <t>Sep</t>
        </is>
      </c>
      <c r="B10">
        <f>'Sep'!B3</f>
        <v/>
      </c>
      <c r="C10">
        <f>'Sep'!B9</f>
        <v/>
      </c>
      <c r="D10">
        <f>'Sep'!B10</f>
        <v/>
      </c>
    </row>
    <row r="11">
      <c r="A11" t="inlineStr">
        <is>
          <t>Oct</t>
        </is>
      </c>
      <c r="B11">
        <f>'Oct'!B3</f>
        <v/>
      </c>
      <c r="C11">
        <f>'Oct'!B9</f>
        <v/>
      </c>
      <c r="D11">
        <f>'Oct'!B10</f>
        <v/>
      </c>
    </row>
    <row r="12">
      <c r="A12" t="inlineStr">
        <is>
          <t>Nov</t>
        </is>
      </c>
      <c r="B12">
        <f>'Nov'!B3</f>
        <v/>
      </c>
      <c r="C12">
        <f>'Nov'!B9</f>
        <v/>
      </c>
      <c r="D12">
        <f>'Nov'!B10</f>
        <v/>
      </c>
    </row>
    <row r="13">
      <c r="A13" t="inlineStr">
        <is>
          <t>Dec</t>
        </is>
      </c>
      <c r="B13">
        <f>'Dec'!B3</f>
        <v/>
      </c>
      <c r="C13">
        <f>'Dec'!B9</f>
        <v/>
      </c>
      <c r="D13">
        <f>'Dec'!B10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2026-01-15T13:17:24Z</dcterms:created>
  <dcterms:modified xmlns:dcterms="http://purl.org/dc/terms/" xmlns:xsi="http://www.w3.org/2001/XMLSchema-instance" xsi:type="dcterms:W3CDTF">2026-01-15T13:17:24Z</dcterms:modified>
</cp:coreProperties>
</file>